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Universidad Nacional de Ingenieria\Año 3\Semestre II\Ingenieria de Software I\Constructora Eder Martinez Proyecto\CORTE I\"/>
    </mc:Choice>
  </mc:AlternateContent>
  <xr:revisionPtr revIDLastSave="0" documentId="13_ncr:1_{991596EC-1821-47C4-AB00-AA900AE82F8B}" xr6:coauthVersionLast="47" xr6:coauthVersionMax="47" xr10:uidLastSave="{00000000-0000-0000-0000-000000000000}"/>
  <bookViews>
    <workbookView xWindow="-108" yWindow="-108" windowWidth="23256" windowHeight="12576" firstSheet="4" activeTab="5" xr2:uid="{00000000-000D-0000-FFFF-FFFF00000000}"/>
  </bookViews>
  <sheets>
    <sheet name="1. Caracteristicas de dominio" sheetId="1" r:id="rId1"/>
    <sheet name="2. Preguntas" sheetId="2" r:id="rId2"/>
    <sheet name="3. Punto de Función" sheetId="3" r:id="rId3"/>
    <sheet name="4. Base de Datos" sheetId="4" r:id="rId4"/>
    <sheet name="5. Estimación del esfuerzo" sheetId="6" r:id="rId5"/>
    <sheet name="6. Distribución" sheetId="7" r:id="rId6"/>
    <sheet name="Lista de Materiale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7" l="1"/>
  <c r="C34" i="7"/>
  <c r="C35" i="7"/>
  <c r="H22" i="7"/>
  <c r="H23" i="7"/>
  <c r="H24" i="7"/>
  <c r="G22" i="7"/>
  <c r="G23" i="7"/>
  <c r="G24" i="7"/>
  <c r="G21" i="7"/>
  <c r="F23" i="7"/>
  <c r="F22" i="7"/>
  <c r="F24" i="7"/>
  <c r="F21" i="7"/>
  <c r="D22" i="7"/>
  <c r="D23" i="7"/>
  <c r="D24" i="7"/>
  <c r="D21" i="7"/>
  <c r="E24" i="7"/>
  <c r="E23" i="7"/>
  <c r="E22" i="7"/>
  <c r="E21" i="7"/>
  <c r="C24" i="7"/>
  <c r="C23" i="7"/>
  <c r="C22" i="7"/>
  <c r="C21" i="7"/>
  <c r="C10" i="7"/>
  <c r="H68" i="4"/>
  <c r="D205" i="4" s="1"/>
  <c r="G205" i="4" s="1"/>
  <c r="J39" i="6"/>
  <c r="P15" i="6"/>
  <c r="C204" i="4"/>
  <c r="J14" i="6"/>
  <c r="H12" i="8"/>
  <c r="G12" i="8"/>
  <c r="F12" i="8"/>
  <c r="I12" i="8" s="1"/>
  <c r="H11" i="8"/>
  <c r="I11" i="8" s="1"/>
  <c r="G11" i="8"/>
  <c r="F11" i="8"/>
  <c r="H10" i="8"/>
  <c r="G10" i="8"/>
  <c r="F10" i="8"/>
  <c r="I10" i="8" s="1"/>
  <c r="G9" i="8"/>
  <c r="E9" i="8"/>
  <c r="F9" i="8" s="1"/>
  <c r="I9" i="8" s="1"/>
  <c r="G8" i="8"/>
  <c r="F8" i="8"/>
  <c r="E8" i="8"/>
  <c r="H8" i="8" s="1"/>
  <c r="H13" i="8" s="1"/>
  <c r="I7" i="8"/>
  <c r="H7" i="8"/>
  <c r="G7" i="8"/>
  <c r="F7" i="8"/>
  <c r="H6" i="8"/>
  <c r="G6" i="8"/>
  <c r="F6" i="8"/>
  <c r="I6" i="8" s="1"/>
  <c r="I5" i="8"/>
  <c r="G5" i="8"/>
  <c r="F5" i="8"/>
  <c r="H4" i="8"/>
  <c r="G4" i="8"/>
  <c r="G13" i="8" s="1"/>
  <c r="F4" i="8"/>
  <c r="F13" i="8" s="1"/>
  <c r="F39" i="7"/>
  <c r="K34" i="7"/>
  <c r="K40" i="7" s="1"/>
  <c r="M22" i="7"/>
  <c r="M21" i="7"/>
  <c r="M20" i="7"/>
  <c r="J38" i="6"/>
  <c r="J37" i="6"/>
  <c r="J36" i="6"/>
  <c r="J35" i="6"/>
  <c r="J34" i="6"/>
  <c r="J33" i="6"/>
  <c r="J32" i="6"/>
  <c r="J31" i="6"/>
  <c r="J30" i="6"/>
  <c r="J29" i="6"/>
  <c r="I28" i="6"/>
  <c r="J28" i="6" s="1"/>
  <c r="I27" i="6"/>
  <c r="J27" i="6" s="1"/>
  <c r="I26" i="6"/>
  <c r="J26" i="6" s="1"/>
  <c r="I25" i="6"/>
  <c r="J25" i="6" s="1"/>
  <c r="I24" i="6"/>
  <c r="J24" i="6" s="1"/>
  <c r="J23" i="6"/>
  <c r="I22" i="6"/>
  <c r="J22" i="6" s="1"/>
  <c r="J13" i="6"/>
  <c r="J12" i="6"/>
  <c r="I11" i="6"/>
  <c r="J11" i="6" s="1"/>
  <c r="J10" i="6"/>
  <c r="E233" i="4"/>
  <c r="E229" i="4"/>
  <c r="C229" i="4"/>
  <c r="E228" i="4"/>
  <c r="G228" i="4" s="1"/>
  <c r="D228" i="4"/>
  <c r="C228" i="4"/>
  <c r="E227" i="4"/>
  <c r="C227" i="4"/>
  <c r="E226" i="4"/>
  <c r="G226" i="4" s="1"/>
  <c r="D226" i="4"/>
  <c r="C226" i="4"/>
  <c r="E225" i="4"/>
  <c r="C225" i="4"/>
  <c r="E224" i="4"/>
  <c r="G224" i="4" s="1"/>
  <c r="D224" i="4"/>
  <c r="C224" i="4"/>
  <c r="E223" i="4"/>
  <c r="C223" i="4"/>
  <c r="E222" i="4"/>
  <c r="G222" i="4" s="1"/>
  <c r="D222" i="4"/>
  <c r="C222" i="4"/>
  <c r="E221" i="4"/>
  <c r="C221" i="4"/>
  <c r="E220" i="4"/>
  <c r="G220" i="4" s="1"/>
  <c r="D220" i="4"/>
  <c r="C220" i="4"/>
  <c r="E219" i="4"/>
  <c r="C219" i="4"/>
  <c r="E218" i="4"/>
  <c r="G218" i="4" s="1"/>
  <c r="D218" i="4"/>
  <c r="C218" i="4"/>
  <c r="E217" i="4"/>
  <c r="C217" i="4"/>
  <c r="E216" i="4"/>
  <c r="G216" i="4" s="1"/>
  <c r="D216" i="4"/>
  <c r="C216" i="4"/>
  <c r="E215" i="4"/>
  <c r="C215" i="4"/>
  <c r="E214" i="4"/>
  <c r="G214" i="4" s="1"/>
  <c r="D214" i="4"/>
  <c r="C214" i="4"/>
  <c r="E213" i="4"/>
  <c r="C213" i="4"/>
  <c r="E212" i="4"/>
  <c r="G212" i="4" s="1"/>
  <c r="D212" i="4"/>
  <c r="C212" i="4"/>
  <c r="E211" i="4"/>
  <c r="C211" i="4"/>
  <c r="E210" i="4"/>
  <c r="G210" i="4" s="1"/>
  <c r="D210" i="4"/>
  <c r="C210" i="4"/>
  <c r="E209" i="4"/>
  <c r="C209" i="4"/>
  <c r="E208" i="4"/>
  <c r="G208" i="4" s="1"/>
  <c r="D208" i="4"/>
  <c r="C208" i="4"/>
  <c r="E207" i="4"/>
  <c r="C207" i="4"/>
  <c r="E206" i="4"/>
  <c r="G206" i="4" s="1"/>
  <c r="D206" i="4"/>
  <c r="C206" i="4"/>
  <c r="E205" i="4"/>
  <c r="C205" i="4"/>
  <c r="E204" i="4"/>
  <c r="G204" i="4" s="1"/>
  <c r="D204" i="4"/>
  <c r="E203" i="4"/>
  <c r="C203" i="4"/>
  <c r="E202" i="4"/>
  <c r="C202" i="4"/>
  <c r="E201" i="4"/>
  <c r="C201" i="4"/>
  <c r="E200" i="4"/>
  <c r="G200" i="4" s="1"/>
  <c r="C200" i="4"/>
  <c r="E199" i="4"/>
  <c r="C199" i="4"/>
  <c r="E198" i="4"/>
  <c r="G198" i="4" s="1"/>
  <c r="D198" i="4"/>
  <c r="C198" i="4"/>
  <c r="E197" i="4"/>
  <c r="C197" i="4"/>
  <c r="E196" i="4"/>
  <c r="G196" i="4" s="1"/>
  <c r="D196" i="4"/>
  <c r="C196" i="4"/>
  <c r="E195" i="4"/>
  <c r="C195" i="4"/>
  <c r="E194" i="4"/>
  <c r="C194" i="4"/>
  <c r="E193" i="4"/>
  <c r="C193" i="4"/>
  <c r="E192" i="4"/>
  <c r="G192" i="4" s="1"/>
  <c r="C192" i="4"/>
  <c r="D188" i="4"/>
  <c r="H185" i="4"/>
  <c r="D229" i="4" s="1"/>
  <c r="G229" i="4" s="1"/>
  <c r="L172" i="4"/>
  <c r="D227" i="4" s="1"/>
  <c r="G227" i="4" s="1"/>
  <c r="H168" i="4"/>
  <c r="D167" i="4"/>
  <c r="D225" i="4" s="1"/>
  <c r="G225" i="4" s="1"/>
  <c r="D159" i="4"/>
  <c r="H158" i="4"/>
  <c r="D223" i="4" s="1"/>
  <c r="G223" i="4" s="1"/>
  <c r="L154" i="4"/>
  <c r="L142" i="4"/>
  <c r="D221" i="4" s="1"/>
  <c r="G221" i="4" s="1"/>
  <c r="H141" i="4"/>
  <c r="D141" i="4"/>
  <c r="D219" i="4" s="1"/>
  <c r="G219" i="4" s="1"/>
  <c r="L131" i="4"/>
  <c r="H128" i="4"/>
  <c r="D217" i="4" s="1"/>
  <c r="G217" i="4" s="1"/>
  <c r="D128" i="4"/>
  <c r="D122" i="4"/>
  <c r="D213" i="4" s="1"/>
  <c r="G213" i="4" s="1"/>
  <c r="L121" i="4"/>
  <c r="D215" i="4" s="1"/>
  <c r="G215" i="4" s="1"/>
  <c r="H111" i="4"/>
  <c r="L105" i="4"/>
  <c r="H103" i="4"/>
  <c r="D211" i="4" s="1"/>
  <c r="G211" i="4" s="1"/>
  <c r="D96" i="4"/>
  <c r="D89" i="4"/>
  <c r="D207" i="4" s="1"/>
  <c r="G207" i="4" s="1"/>
  <c r="H87" i="4"/>
  <c r="L86" i="4"/>
  <c r="D209" i="4" s="1"/>
  <c r="G209" i="4" s="1"/>
  <c r="D71" i="4"/>
  <c r="L67" i="4"/>
  <c r="G60" i="4"/>
  <c r="D58" i="4"/>
  <c r="L52" i="4"/>
  <c r="D203" i="4" s="1"/>
  <c r="G203" i="4" s="1"/>
  <c r="H52" i="4"/>
  <c r="D202" i="4" s="1"/>
  <c r="L43" i="4"/>
  <c r="D200" i="4" s="1"/>
  <c r="D37" i="4"/>
  <c r="H34" i="4"/>
  <c r="D199" i="4" s="1"/>
  <c r="G199" i="4" s="1"/>
  <c r="H28" i="4"/>
  <c r="L23" i="4"/>
  <c r="D197" i="4" s="1"/>
  <c r="G197" i="4" s="1"/>
  <c r="D21" i="4"/>
  <c r="D195" i="4" s="1"/>
  <c r="G195" i="4" s="1"/>
  <c r="L12" i="4"/>
  <c r="D194" i="4" s="1"/>
  <c r="H12" i="4"/>
  <c r="D193" i="4" s="1"/>
  <c r="G193" i="4" s="1"/>
  <c r="D12" i="4"/>
  <c r="D192" i="4" s="1"/>
  <c r="K13" i="3"/>
  <c r="C13" i="3" s="1"/>
  <c r="L16" i="2"/>
  <c r="E14" i="3" s="1"/>
  <c r="F37" i="1"/>
  <c r="E7" i="3" s="1"/>
  <c r="E37" i="1"/>
  <c r="D7" i="3" s="1"/>
  <c r="D37" i="1"/>
  <c r="C7" i="3" s="1"/>
  <c r="F7" i="3" s="1"/>
  <c r="F36" i="1"/>
  <c r="E6" i="3" s="1"/>
  <c r="E36" i="1"/>
  <c r="D6" i="3" s="1"/>
  <c r="D36" i="1"/>
  <c r="C6" i="3" s="1"/>
  <c r="F35" i="1"/>
  <c r="E8" i="3" s="1"/>
  <c r="E35" i="1"/>
  <c r="D8" i="3" s="1"/>
  <c r="D35" i="1"/>
  <c r="C8" i="3" s="1"/>
  <c r="F34" i="1"/>
  <c r="E5" i="3" s="1"/>
  <c r="E34" i="1"/>
  <c r="D5" i="3" s="1"/>
  <c r="D34" i="1"/>
  <c r="C5" i="3" s="1"/>
  <c r="F5" i="3" s="1"/>
  <c r="F33" i="1"/>
  <c r="E4" i="3" s="1"/>
  <c r="E33" i="1"/>
  <c r="D4" i="3" s="1"/>
  <c r="D33" i="1"/>
  <c r="C4" i="3" s="1"/>
  <c r="J15" i="6" l="1"/>
  <c r="E18" i="6" s="1"/>
  <c r="F4" i="3"/>
  <c r="F6" i="3"/>
  <c r="I8" i="8"/>
  <c r="G194" i="4"/>
  <c r="G230" i="4" s="1"/>
  <c r="E232" i="4" s="1"/>
  <c r="E234" i="4" s="1"/>
  <c r="F8" i="3"/>
  <c r="G202" i="4"/>
  <c r="D201" i="4"/>
  <c r="G201" i="4" s="1"/>
  <c r="I4" i="8"/>
  <c r="C11" i="6" l="1"/>
  <c r="I13" i="8"/>
  <c r="I15" i="8" s="1"/>
  <c r="F9" i="3"/>
  <c r="C11" i="3" s="1"/>
  <c r="C12" i="3" s="1"/>
  <c r="C14" i="3" s="1"/>
  <c r="C15" i="3" s="1"/>
  <c r="D2" i="7" l="1"/>
  <c r="C10" i="6"/>
  <c r="E236" i="4"/>
  <c r="C12" i="6" l="1"/>
  <c r="C19" i="6" s="1"/>
  <c r="C13" i="6"/>
  <c r="C25" i="7" l="1"/>
  <c r="E25" i="7"/>
  <c r="C20" i="6"/>
  <c r="D4" i="7" s="1"/>
  <c r="C26" i="6"/>
  <c r="D3" i="7"/>
  <c r="C27" i="6" l="1"/>
  <c r="D5" i="7" s="1"/>
  <c r="F35" i="7" l="1"/>
  <c r="H21" i="7"/>
  <c r="F32" i="7" s="1"/>
  <c r="F34" i="7"/>
  <c r="D25" i="7"/>
  <c r="F33" i="7"/>
  <c r="C39" i="7"/>
  <c r="C32" i="7"/>
  <c r="C42" i="7"/>
  <c r="C41" i="7"/>
  <c r="F25" i="7"/>
  <c r="C40" i="7"/>
  <c r="C36" i="7" l="1"/>
  <c r="F36" i="7"/>
  <c r="C43" i="7"/>
  <c r="D47" i="7" l="1"/>
  <c r="E4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Ricardo Lopez Garcia</author>
  </authors>
  <commentList>
    <comment ref="B11" authorId="0" shapeId="0" xr:uid="{00000000-0006-0000-0200-000001000000}">
      <text>
        <r>
          <rPr>
            <sz val="11"/>
            <color theme="1"/>
            <rFont val="Calibri"/>
            <family val="2"/>
          </rPr>
          <t>Edwin Ricardo Lopez Garcia:
Puntos de función sin ajustar (PF)</t>
        </r>
      </text>
    </comment>
    <comment ref="B12" authorId="0" shapeId="0" xr:uid="{00000000-0006-0000-0200-000002000000}">
      <text>
        <r>
          <rPr>
            <sz val="11"/>
            <color theme="1"/>
            <rFont val="Calibri"/>
            <family val="2"/>
          </rPr>
          <t>Edwin Ricardo Lopez Garcia:
Puntos de función ajustados
(PFA) 
PFA = PF * [0.65 + 0.01 * Sumatoria de Fi]</t>
        </r>
      </text>
    </comment>
    <comment ref="E13" authorId="0" shapeId="0" xr:uid="{00000000-0006-0000-0200-000003000000}">
      <text>
        <r>
          <rPr>
            <sz val="11"/>
            <color theme="1"/>
            <rFont val="Calibri"/>
            <family val="2"/>
          </rPr>
          <t>Edwin Ricardo Lopez Garcia:
Sumatoria de Fi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Ricardo Lopez Garcia</author>
  </authors>
  <commentList>
    <comment ref="D6" authorId="0" shapeId="0" xr:uid="{00000000-0006-0000-0400-000001000000}">
      <text>
        <r>
          <rPr>
            <sz val="11"/>
            <color theme="1"/>
            <rFont val="Calibri"/>
            <family val="2"/>
          </rPr>
          <t>Edwin Ricardo Lopez Garcia:
A es una constante, su valor siempre será ese</t>
        </r>
      </text>
    </comment>
    <comment ref="H10" authorId="0" shapeId="0" xr:uid="{00000000-0006-0000-0400-000002000000}">
      <text>
        <r>
          <rPr>
            <sz val="11"/>
            <color theme="1"/>
            <rFont val="Calibri"/>
            <family val="2"/>
          </rPr>
          <t>Edwin Ricardo Lopez Garcia:
Precedente</t>
        </r>
      </text>
    </comment>
    <comment ref="H11" authorId="0" shapeId="0" xr:uid="{00000000-0006-0000-0400-000003000000}">
      <text>
        <r>
          <rPr>
            <sz val="11"/>
            <color theme="1"/>
            <rFont val="Calibri"/>
            <family val="2"/>
          </rPr>
          <t>Edwin Ricardo Lopez Garcia:
Flexibilidad de desarrollo</t>
        </r>
      </text>
    </comment>
    <comment ref="H12" authorId="0" shapeId="0" xr:uid="{00000000-0006-0000-0400-000004000000}">
      <text>
        <r>
          <rPr>
            <sz val="11"/>
            <color theme="1"/>
            <rFont val="Calibri"/>
            <family val="2"/>
          </rPr>
          <t>Edwin Ricardo Lopez Garcia:
Resolución de Arq./Riesgo</t>
        </r>
      </text>
    </comment>
    <comment ref="H13" authorId="0" shapeId="0" xr:uid="{00000000-0006-0000-0400-000005000000}">
      <text>
        <r>
          <rPr>
            <sz val="11"/>
            <color theme="1"/>
            <rFont val="Calibri"/>
            <family val="2"/>
          </rPr>
          <t>Edwin Ricardo Lopez Garcia:
Cohesión del Equipo de trabajo</t>
        </r>
      </text>
    </comment>
    <comment ref="H14" authorId="0" shapeId="0" xr:uid="{00000000-0006-0000-0400-000006000000}">
      <text>
        <r>
          <rPr>
            <sz val="11"/>
            <color theme="1"/>
            <rFont val="Calibri"/>
            <family val="2"/>
          </rPr>
          <t>Edwin Ricardo Lopez Garcia:
Madurez del proceso</t>
        </r>
      </text>
    </comment>
    <comment ref="H22" authorId="0" shapeId="0" xr:uid="{00000000-0006-0000-0400-000007000000}">
      <text>
        <r>
          <rPr>
            <sz val="11"/>
            <color theme="1"/>
            <rFont val="Calibri"/>
            <family val="2"/>
          </rPr>
          <t>Edwin Ricardo Lopez Garcia:
Complejidad Requerida</t>
        </r>
      </text>
    </comment>
    <comment ref="H23" authorId="0" shapeId="0" xr:uid="{00000000-0006-0000-0400-000008000000}">
      <text>
        <r>
          <rPr>
            <sz val="11"/>
            <color theme="1"/>
            <rFont val="Calibri"/>
            <family val="2"/>
          </rPr>
          <t>Edwin Ricardo Lopez Garcia:
Tamaño de la BD</t>
        </r>
      </text>
    </comment>
    <comment ref="H24" authorId="0" shapeId="0" xr:uid="{00000000-0006-0000-0400-000009000000}">
      <text>
        <r>
          <rPr>
            <sz val="11"/>
            <color theme="1"/>
            <rFont val="Calibri"/>
            <family val="2"/>
          </rPr>
          <t>Edwin Ricardo Lopez Garcia:
Complejidad del Producto</t>
        </r>
      </text>
    </comment>
    <comment ref="H25" authorId="0" shapeId="0" xr:uid="{00000000-0006-0000-0400-00000A000000}">
      <text>
        <r>
          <rPr>
            <sz val="11"/>
            <color theme="1"/>
            <rFont val="Calibri"/>
            <family val="2"/>
          </rPr>
          <t>Edwin Ricardo Lopez Garcia:
Requerimientos de reusabilidad</t>
        </r>
      </text>
    </comment>
    <comment ref="H26" authorId="0" shapeId="0" xr:uid="{00000000-0006-0000-0400-00000B000000}">
      <text>
        <r>
          <rPr>
            <sz val="11"/>
            <color theme="1"/>
            <rFont val="Calibri"/>
            <family val="2"/>
          </rPr>
          <t>Edwin Ricardo Lopez Garcia:
Documentación acorde a las diferentes etapas del ciclo de vida</t>
        </r>
      </text>
    </comment>
    <comment ref="H27" authorId="0" shapeId="0" xr:uid="{00000000-0006-0000-0400-00000C000000}">
      <text>
        <r>
          <rPr>
            <sz val="11"/>
            <color theme="1"/>
            <rFont val="Calibri"/>
            <family val="2"/>
          </rPr>
          <t>Edwin Ricardo Lopez Garcia:
Restricción del tiempo de ejecución</t>
        </r>
      </text>
    </comment>
    <comment ref="H28" authorId="0" shapeId="0" xr:uid="{00000000-0006-0000-0400-00000D000000}">
      <text>
        <r>
          <rPr>
            <sz val="11"/>
            <color theme="1"/>
            <rFont val="Calibri"/>
            <family val="2"/>
          </rPr>
          <t>Edwin Ricardo Lopez Garcia:
Restricción del Almacenamiento Principal</t>
        </r>
      </text>
    </comment>
    <comment ref="H29" authorId="0" shapeId="0" xr:uid="{00000000-0006-0000-0400-00000E000000}">
      <text>
        <r>
          <rPr>
            <sz val="11"/>
            <color theme="1"/>
            <rFont val="Calibri"/>
            <family val="2"/>
          </rPr>
          <t>Edwin Ricardo Lopez Garcia:
Volatilidad de la plataforma</t>
        </r>
      </text>
    </comment>
    <comment ref="H30" authorId="0" shapeId="0" xr:uid="{00000000-0006-0000-0400-00000F000000}">
      <text>
        <r>
          <rPr>
            <sz val="11"/>
            <color theme="1"/>
            <rFont val="Calibri"/>
            <family val="2"/>
          </rPr>
          <t>Edwin Ricardo Lopez Garcia:
Capacidad del Analista</t>
        </r>
      </text>
    </comment>
    <comment ref="H31" authorId="0" shapeId="0" xr:uid="{00000000-0006-0000-0400-000010000000}">
      <text>
        <r>
          <rPr>
            <sz val="11"/>
            <color theme="1"/>
            <rFont val="Calibri"/>
            <family val="2"/>
          </rPr>
          <t>Edwin Ricardo Lopez Garcia:
Capacidad del Programador</t>
        </r>
      </text>
    </comment>
    <comment ref="H32" authorId="0" shapeId="0" xr:uid="{00000000-0006-0000-0400-000011000000}">
      <text>
        <r>
          <rPr>
            <sz val="11"/>
            <color theme="1"/>
            <rFont val="Calibri"/>
            <family val="2"/>
          </rPr>
          <t>Edwin Ricardo Lopez Garcia:
Continuidad del personal</t>
        </r>
      </text>
    </comment>
    <comment ref="H33" authorId="0" shapeId="0" xr:uid="{00000000-0006-0000-0400-000012000000}">
      <text>
        <r>
          <rPr>
            <sz val="11"/>
            <color theme="1"/>
            <rFont val="Calibri"/>
            <family val="2"/>
          </rPr>
          <t>Edwin Ricardo Lopez Garcia:
Experiencia en la aplicación</t>
        </r>
      </text>
    </comment>
    <comment ref="H34" authorId="0" shapeId="0" xr:uid="{00000000-0006-0000-0400-000013000000}">
      <text>
        <r>
          <rPr>
            <sz val="11"/>
            <color theme="1"/>
            <rFont val="Calibri"/>
            <family val="2"/>
          </rPr>
          <t>Edwin Ricardo Lopez Garcia:
 Experiencia en la plataforma</t>
        </r>
      </text>
    </comment>
    <comment ref="H35" authorId="0" shapeId="0" xr:uid="{00000000-0006-0000-0400-000014000000}">
      <text>
        <r>
          <rPr>
            <sz val="11"/>
            <color theme="1"/>
            <rFont val="Calibri"/>
            <family val="2"/>
          </rPr>
          <t>Edwin Ricardo Lopez Garcia:
 Experiencia en el lenguaje y las herramientas</t>
        </r>
      </text>
    </comment>
    <comment ref="H36" authorId="0" shapeId="0" xr:uid="{00000000-0006-0000-0400-000015000000}">
      <text>
        <r>
          <rPr>
            <sz val="11"/>
            <color theme="1"/>
            <rFont val="Calibri"/>
            <family val="2"/>
          </rPr>
          <t>Edwin Ricardo Lopez Garcia:
Uso de Herramientas de Software</t>
        </r>
      </text>
    </comment>
    <comment ref="H37" authorId="0" shapeId="0" xr:uid="{00000000-0006-0000-0400-000016000000}">
      <text>
        <r>
          <rPr>
            <sz val="11"/>
            <color theme="1"/>
            <rFont val="Calibri"/>
            <family val="2"/>
          </rPr>
          <t>Edwin Ricardo Lopez Garcia:
 Desarrollo multitare</t>
        </r>
      </text>
    </comment>
    <comment ref="H38" authorId="0" shapeId="0" xr:uid="{00000000-0006-0000-0400-000017000000}">
      <text>
        <r>
          <rPr>
            <sz val="11"/>
            <color theme="1"/>
            <rFont val="Calibri"/>
            <family val="2"/>
          </rPr>
          <t>Edwin Ricardo Lopez Garcia:
Cronograma de Desarrollo Requerido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Ricardo Lopez Garcia</author>
  </authors>
  <commentList>
    <comment ref="B31" authorId="0" shapeId="0" xr:uid="{00000000-0006-0000-0500-000001000000}">
      <text>
        <r>
          <rPr>
            <sz val="11"/>
            <color theme="1"/>
            <rFont val="Calibri"/>
            <family val="2"/>
          </rPr>
          <t>Edwin Ricardo Lopez Garcia:
Cant de personal * salario * Tdes</t>
        </r>
      </text>
    </comment>
    <comment ref="E31" authorId="0" shapeId="0" xr:uid="{00000000-0006-0000-0500-000002000000}">
      <text>
        <r>
          <rPr>
            <sz val="11"/>
            <color theme="1"/>
            <rFont val="Calibri"/>
            <family val="2"/>
          </rPr>
          <t>Edwin Ricardo Lopez Garcia:
Tdes * CH real * total KW</t>
        </r>
      </text>
    </comment>
    <comment ref="B38" authorId="0" shapeId="0" xr:uid="{00000000-0006-0000-0500-000003000000}">
      <text>
        <r>
          <rPr>
            <sz val="11"/>
            <color theme="1"/>
            <rFont val="Calibri"/>
            <family val="2"/>
          </rPr>
          <t>Edwin Ricardo Lopez Garcia:
Cant Materiales * tiempo de desarrollo</t>
        </r>
      </text>
    </comment>
  </commentList>
</comments>
</file>

<file path=xl/sharedStrings.xml><?xml version="1.0" encoding="utf-8"?>
<sst xmlns="http://schemas.openxmlformats.org/spreadsheetml/2006/main" count="1232" uniqueCount="490">
  <si>
    <t>Entradas</t>
  </si>
  <si>
    <t>Salidas</t>
  </si>
  <si>
    <t>Consultas</t>
  </si>
  <si>
    <t>Archivos Internos</t>
  </si>
  <si>
    <t>Archivos Externos</t>
  </si>
  <si>
    <t>ítem</t>
  </si>
  <si>
    <t>Complejidad</t>
  </si>
  <si>
    <t>Inicio de sesión</t>
  </si>
  <si>
    <t>Bajo</t>
  </si>
  <si>
    <t>Medio</t>
  </si>
  <si>
    <t>Usuarios</t>
  </si>
  <si>
    <t>No se identifican AE en el alcance actual</t>
  </si>
  <si>
    <t>Alto</t>
  </si>
  <si>
    <t>Roles y permisos</t>
  </si>
  <si>
    <t>Obras</t>
  </si>
  <si>
    <t>Trabajadores</t>
  </si>
  <si>
    <t>Asignaciones trabajador-obra</t>
  </si>
  <si>
    <t>Asistencias</t>
  </si>
  <si>
    <t>Registrar obra</t>
  </si>
  <si>
    <t>Actividades de obra</t>
  </si>
  <si>
    <t>Actualizar obra / cambiar estado</t>
  </si>
  <si>
    <t>Avances de obra</t>
  </si>
  <si>
    <t>Registrar trabajador</t>
  </si>
  <si>
    <t>Evidencias de avance</t>
  </si>
  <si>
    <t>Actas de seguimiento</t>
  </si>
  <si>
    <t>Incidencias de obra</t>
  </si>
  <si>
    <t>Inventario / stock de EPP</t>
  </si>
  <si>
    <t>Movimientos de EPP</t>
  </si>
  <si>
    <t>Inventario / stock de herramientas</t>
  </si>
  <si>
    <t>Movimientos e incidencias de herramientas</t>
  </si>
  <si>
    <t>Auditoría</t>
  </si>
  <si>
    <t>Tabla Resumen</t>
  </si>
  <si>
    <t>Archivos internos</t>
  </si>
  <si>
    <t>Preguntas</t>
  </si>
  <si>
    <t>Valor ( 0 - 5)</t>
  </si>
  <si>
    <t>1. ¿Requiere el sistema copias de seguridad y de recuperación fiables?</t>
  </si>
  <si>
    <t>2. ¿Se requiere comunicaciòn de datos ?</t>
  </si>
  <si>
    <t>3. ¿Existen funciones de procesamiento distribuído?</t>
  </si>
  <si>
    <t>4. ¿Es crítico el rendimiento?</t>
  </si>
  <si>
    <t>5. ¿Se ejecutará el sistema en un entorno operativo existente y fuertemente utilizado?</t>
  </si>
  <si>
    <t>6. ¿Requiere le sistema entrada de datos interactiva?</t>
  </si>
  <si>
    <t>7. ¿Requiere la entrada de datos interactiva que las transacciones de entrada se lleven a cabo sobre múltiples pantallas u operaciones?</t>
  </si>
  <si>
    <t>8. ¿Se actualizan los archivos maestros de forma interactiva?</t>
  </si>
  <si>
    <t>9. ¿Son complejas las entradas, las salidas, los archivos o las peticiones?</t>
  </si>
  <si>
    <t>10. ¿Es complejo el procesamiento interno?</t>
  </si>
  <si>
    <t>11. ¿Se ha diseñado el código para que sea reutilizable?</t>
  </si>
  <si>
    <t>12. ¿Están incluidas en el diseño la conversión y la instalación?</t>
  </si>
  <si>
    <t>13. ¿Se ha diseñado el sistema para soportar múltiples instalaciones en diferentes organizaciones?</t>
  </si>
  <si>
    <t>14. ¿Se ha diseñado la aplicación para facilitar los cambios y para ser fácilmente utilizada por el usuario?</t>
  </si>
  <si>
    <t>Total</t>
  </si>
  <si>
    <t>Cuenta Total</t>
  </si>
  <si>
    <t>Tipo de función</t>
  </si>
  <si>
    <t>Peso del factor complejidad</t>
  </si>
  <si>
    <t>Promedio</t>
  </si>
  <si>
    <t>Arch.Internos</t>
  </si>
  <si>
    <t>Arch.Externos</t>
  </si>
  <si>
    <t>Lenguajes</t>
  </si>
  <si>
    <t>LDC</t>
  </si>
  <si>
    <t>PF</t>
  </si>
  <si>
    <t>C#</t>
  </si>
  <si>
    <t>PFA</t>
  </si>
  <si>
    <t>JavaScript</t>
  </si>
  <si>
    <t>Prom. LC</t>
  </si>
  <si>
    <t>TLDC</t>
  </si>
  <si>
    <t>MF</t>
  </si>
  <si>
    <t>Kb</t>
  </si>
  <si>
    <t>Base de Datos SQL Vacía</t>
  </si>
  <si>
    <t>A</t>
  </si>
  <si>
    <t>Factor de los indicadores de escala</t>
  </si>
  <si>
    <t>Factores de escala</t>
  </si>
  <si>
    <t>V.Cualitativo</t>
  </si>
  <si>
    <t>V.Cuantitativo</t>
  </si>
  <si>
    <t>Fact. de escala</t>
  </si>
  <si>
    <t>Muy bajo</t>
  </si>
  <si>
    <t>Nominal</t>
  </si>
  <si>
    <t>Muy Alto</t>
  </si>
  <si>
    <t>Ext. Alto</t>
  </si>
  <si>
    <t>PREC</t>
  </si>
  <si>
    <t>B</t>
  </si>
  <si>
    <t>FLEX</t>
  </si>
  <si>
    <t>Esfuerzo</t>
  </si>
  <si>
    <t>Hombres / Mes</t>
  </si>
  <si>
    <t>RESL</t>
  </si>
  <si>
    <t>Esfuerzo Redondeado</t>
  </si>
  <si>
    <t>TEAM</t>
  </si>
  <si>
    <t>PMAT</t>
  </si>
  <si>
    <t>Exponente del esfuerzo</t>
  </si>
  <si>
    <t>Tdes</t>
  </si>
  <si>
    <t>Meses</t>
  </si>
  <si>
    <t>Tdes Redondeado</t>
  </si>
  <si>
    <t>Factor de Esfuerzo Compuesto</t>
  </si>
  <si>
    <t>Factor esfuerzo compuesto</t>
  </si>
  <si>
    <t>Indice</t>
  </si>
  <si>
    <t>Producto</t>
  </si>
  <si>
    <t>RELY</t>
  </si>
  <si>
    <t>DATA</t>
  </si>
  <si>
    <t>CPLX</t>
  </si>
  <si>
    <t>Personal Requerido</t>
  </si>
  <si>
    <t>RUSE</t>
  </si>
  <si>
    <t>CH</t>
  </si>
  <si>
    <t>Hombres</t>
  </si>
  <si>
    <t>DOCU</t>
  </si>
  <si>
    <t>CH Redondeado</t>
  </si>
  <si>
    <t>Plataforma</t>
  </si>
  <si>
    <t>TIME</t>
  </si>
  <si>
    <t>STOR</t>
  </si>
  <si>
    <t>PVOL</t>
  </si>
  <si>
    <t>Personal</t>
  </si>
  <si>
    <t>ACAP</t>
  </si>
  <si>
    <t>PCAP</t>
  </si>
  <si>
    <t>PCON</t>
  </si>
  <si>
    <t>AEXP</t>
  </si>
  <si>
    <t>PEXP</t>
  </si>
  <si>
    <t>LTEX</t>
  </si>
  <si>
    <t>Proyecto</t>
  </si>
  <si>
    <t>TOOL</t>
  </si>
  <si>
    <t>SITE</t>
  </si>
  <si>
    <t>SCED</t>
  </si>
  <si>
    <t xml:space="preserve">INDICADOR/MODO </t>
  </si>
  <si>
    <t>FASES</t>
  </si>
  <si>
    <t>PEQUEÑO 2 mf</t>
  </si>
  <si>
    <t>INTERMEDIO8 mf</t>
  </si>
  <si>
    <t>MEDIO 32 mf</t>
  </si>
  <si>
    <t>GRANDE 128 mf</t>
  </si>
  <si>
    <t>MUY GRANDE 512 mf</t>
  </si>
  <si>
    <t>ESFUERZO</t>
  </si>
  <si>
    <t>porcentajes</t>
  </si>
  <si>
    <t>Estudio Preliminar</t>
  </si>
  <si>
    <t>Análisis</t>
  </si>
  <si>
    <t>Diseño y desarrollo</t>
  </si>
  <si>
    <t>Diseño</t>
  </si>
  <si>
    <t>Desarrollo</t>
  </si>
  <si>
    <t>Prueba e implantación</t>
  </si>
  <si>
    <t>TIEMPO DE DESARROLLO</t>
  </si>
  <si>
    <t>Prueba e implant</t>
  </si>
  <si>
    <t>Distribución</t>
  </si>
  <si>
    <t>Salarios ($)</t>
  </si>
  <si>
    <t>Etapas</t>
  </si>
  <si>
    <t>%Esf</t>
  </si>
  <si>
    <t>Esf</t>
  </si>
  <si>
    <t>%Tdes</t>
  </si>
  <si>
    <t>CH real</t>
  </si>
  <si>
    <t>Jefe de Proyecto</t>
  </si>
  <si>
    <t>Analista Programador</t>
  </si>
  <si>
    <t>Programador</t>
  </si>
  <si>
    <t>Est. Preliminar</t>
  </si>
  <si>
    <t>Diseño y Desarrollo</t>
  </si>
  <si>
    <t>Prueba e Implant</t>
  </si>
  <si>
    <t>Costo Total del Proyecto = CD + CI</t>
  </si>
  <si>
    <t>CD = Costos de fuerza de trabajo + costo de uso de medios tecnico + costo de materiales + otros gastos</t>
  </si>
  <si>
    <t>CFT = Sumatoria de los costos en las etapas</t>
  </si>
  <si>
    <t>Fuerza de Trabajo</t>
  </si>
  <si>
    <t>Costo de uso de medios tecnicos</t>
  </si>
  <si>
    <t>Consumo de Computadora</t>
  </si>
  <si>
    <t>CFT1</t>
  </si>
  <si>
    <t>CUMT1</t>
  </si>
  <si>
    <t>h</t>
  </si>
  <si>
    <t>KW</t>
  </si>
  <si>
    <t>CFT2</t>
  </si>
  <si>
    <t>CUMT2</t>
  </si>
  <si>
    <t>CFT3</t>
  </si>
  <si>
    <t>CUMT3</t>
  </si>
  <si>
    <t>CFT4</t>
  </si>
  <si>
    <t>CUMT4</t>
  </si>
  <si>
    <t>Cobro de UNIOFENOSA</t>
  </si>
  <si>
    <t>kw</t>
  </si>
  <si>
    <t>Costo de Materiales</t>
  </si>
  <si>
    <t>Otros Gatos</t>
  </si>
  <si>
    <t>CM1</t>
  </si>
  <si>
    <t>CM2</t>
  </si>
  <si>
    <t>Total KW</t>
  </si>
  <si>
    <t>CM3</t>
  </si>
  <si>
    <t>CM4</t>
  </si>
  <si>
    <t>TIPO DE CAMBIO</t>
  </si>
  <si>
    <t>Dolares</t>
  </si>
  <si>
    <t>Cordobas</t>
  </si>
  <si>
    <t>Costo Total del Proyecto</t>
  </si>
  <si>
    <t>Material</t>
  </si>
  <si>
    <t>Proyección Mensual</t>
  </si>
  <si>
    <t>Gomper</t>
  </si>
  <si>
    <t>Jardin</t>
  </si>
  <si>
    <t>Hispamer</t>
  </si>
  <si>
    <t>Precio Favorable</t>
  </si>
  <si>
    <t>Hojas Blancas</t>
  </si>
  <si>
    <t>Lápiz Grafito</t>
  </si>
  <si>
    <t>Lapicero</t>
  </si>
  <si>
    <t>Cambio a Dolar</t>
  </si>
  <si>
    <t>Folder</t>
  </si>
  <si>
    <t>Engrapadora</t>
  </si>
  <si>
    <t>Grapas</t>
  </si>
  <si>
    <t>Resaltador</t>
  </si>
  <si>
    <t>Saca Puntas</t>
  </si>
  <si>
    <t>Borradores</t>
  </si>
  <si>
    <t>TOTAL</t>
  </si>
  <si>
    <t>Total en Dolares</t>
  </si>
  <si>
    <t>cargo</t>
  </si>
  <si>
    <t>especialidad</t>
  </si>
  <si>
    <t>rol</t>
  </si>
  <si>
    <t>Nombre del Campo</t>
  </si>
  <si>
    <t>Tipo de dato</t>
  </si>
  <si>
    <t>Tamaño de bytes</t>
  </si>
  <si>
    <t>id_cargo</t>
  </si>
  <si>
    <t>INTEGER</t>
  </si>
  <si>
    <t>id_especialidad</t>
  </si>
  <si>
    <t>id_rol</t>
  </si>
  <si>
    <t>nombre</t>
  </si>
  <si>
    <t>VARCHAR(60)</t>
  </si>
  <si>
    <t>VARCHAR(50)</t>
  </si>
  <si>
    <t>descripcion</t>
  </si>
  <si>
    <t>VARCHAR(200)</t>
  </si>
  <si>
    <t>activo</t>
  </si>
  <si>
    <t>BOOLEAN</t>
  </si>
  <si>
    <t>permiso</t>
  </si>
  <si>
    <t>trabajador</t>
  </si>
  <si>
    <t>usuario</t>
  </si>
  <si>
    <t>id_permiso</t>
  </si>
  <si>
    <t>id_trabajador</t>
  </si>
  <si>
    <t>id_usuario</t>
  </si>
  <si>
    <t>codigo</t>
  </si>
  <si>
    <t>INT</t>
  </si>
  <si>
    <t>VARCHAR(80)</t>
  </si>
  <si>
    <t>cedula</t>
  </si>
  <si>
    <t>VARCHAR(20)</t>
  </si>
  <si>
    <t>nombre_usuario</t>
  </si>
  <si>
    <t>primer_nombre</t>
  </si>
  <si>
    <t>password_hash</t>
  </si>
  <si>
    <t>VARCHAR(255)</t>
  </si>
  <si>
    <t>segundo_nombre</t>
  </si>
  <si>
    <t>estado</t>
  </si>
  <si>
    <t>VARCHAR(15)</t>
  </si>
  <si>
    <t>primer_apellido</t>
  </si>
  <si>
    <t>creado_en</t>
  </si>
  <si>
    <t>TIMESTAMPTZ(0)</t>
  </si>
  <si>
    <t>segundo_apellido</t>
  </si>
  <si>
    <t>ultimo_acceso</t>
  </si>
  <si>
    <t>telefono</t>
  </si>
  <si>
    <t>correo</t>
  </si>
  <si>
    <t>VARCHAR(100)</t>
  </si>
  <si>
    <t>direccion</t>
  </si>
  <si>
    <t>fecha_ingreso</t>
  </si>
  <si>
    <t>DATE</t>
  </si>
  <si>
    <t>usuario_rol</t>
  </si>
  <si>
    <t>rol_permiso</t>
  </si>
  <si>
    <t>auditoria</t>
  </si>
  <si>
    <t>id_usuario_rol</t>
  </si>
  <si>
    <t>id_auditoria</t>
  </si>
  <si>
    <t>BIGINT</t>
  </si>
  <si>
    <t>entidad</t>
  </si>
  <si>
    <t>fecha_inicio</t>
  </si>
  <si>
    <t>id_registro</t>
  </si>
  <si>
    <t>fecha_fin</t>
  </si>
  <si>
    <t>accion</t>
  </si>
  <si>
    <t>campo</t>
  </si>
  <si>
    <t>valor_anterior</t>
  </si>
  <si>
    <t>VARCHAR(1000)</t>
  </si>
  <si>
    <t>valor_nuevo</t>
  </si>
  <si>
    <t>fecha_hora</t>
  </si>
  <si>
    <t>ip_origen</t>
  </si>
  <si>
    <t>INET</t>
  </si>
  <si>
    <t>uuid_operacion</t>
  </si>
  <si>
    <t>UUID</t>
  </si>
  <si>
    <t>obra</t>
  </si>
  <si>
    <t>cuadrilla</t>
  </si>
  <si>
    <t>trabajador_especialidad</t>
  </si>
  <si>
    <t>id_obra</t>
  </si>
  <si>
    <t>id_cuadrilla</t>
  </si>
  <si>
    <t>VARCHAR(120)</t>
  </si>
  <si>
    <t>nivel</t>
  </si>
  <si>
    <t>VARCHAR(500)</t>
  </si>
  <si>
    <t>fecha_certificacion</t>
  </si>
  <si>
    <t>fecha_vencimiento</t>
  </si>
  <si>
    <t>fecha_inicio_plan</t>
  </si>
  <si>
    <t>fecha_fin_plan</t>
  </si>
  <si>
    <t>fecha_inicio_real</t>
  </si>
  <si>
    <t>fecha_fin_real</t>
  </si>
  <si>
    <t>asignacion_trabajador_obra</t>
  </si>
  <si>
    <t>cuadrilla_obra</t>
  </si>
  <si>
    <t>trabajador_cuadrilla</t>
  </si>
  <si>
    <t>id_asignacion</t>
  </si>
  <si>
    <t>id_cuadrilla_obra</t>
  </si>
  <si>
    <t>id_trabajador_cuadrilla</t>
  </si>
  <si>
    <t>tipo_contratacion</t>
  </si>
  <si>
    <t>es_responsable</t>
  </si>
  <si>
    <t>asistencia</t>
  </si>
  <si>
    <t>correccion_asistencia</t>
  </si>
  <si>
    <t>actividad</t>
  </si>
  <si>
    <t>id_asistencia</t>
  </si>
  <si>
    <t>id_correccion</t>
  </si>
  <si>
    <t>id_actividad</t>
  </si>
  <si>
    <t>fecha_jornada</t>
  </si>
  <si>
    <t>id_usuario_solicita</t>
  </si>
  <si>
    <t>id_asignacion_responsable</t>
  </si>
  <si>
    <t>entrada_at</t>
  </si>
  <si>
    <t>id_usuario_aprueba</t>
  </si>
  <si>
    <t>VARCHAR(30)</t>
  </si>
  <si>
    <t>salida_at</t>
  </si>
  <si>
    <t>entrada_anterior</t>
  </si>
  <si>
    <t>latitud_entrada</t>
  </si>
  <si>
    <t>NUMERIC(9,6)</t>
  </si>
  <si>
    <t>salida_anterior</t>
  </si>
  <si>
    <t>longitud_entrada</t>
  </si>
  <si>
    <t>entrada_nueva</t>
  </si>
  <si>
    <t>unidad_medida</t>
  </si>
  <si>
    <t>latitud_salida</t>
  </si>
  <si>
    <t>salida_nueva</t>
  </si>
  <si>
    <t>cantidad_planificada</t>
  </si>
  <si>
    <t>NUMERIC(12,2)</t>
  </si>
  <si>
    <t>longitud_salida</t>
  </si>
  <si>
    <t>motivo</t>
  </si>
  <si>
    <t>VARCHAR(300)</t>
  </si>
  <si>
    <t>id_usuario_registro</t>
  </si>
  <si>
    <t>solicitado_en</t>
  </si>
  <si>
    <t>uuid_registro</t>
  </si>
  <si>
    <t>resuelto_en</t>
  </si>
  <si>
    <t>sincronizado_en</t>
  </si>
  <si>
    <t>trabajador_actividad</t>
  </si>
  <si>
    <t>avance</t>
  </si>
  <si>
    <t>evidencia</t>
  </si>
  <si>
    <t>id_avance</t>
  </si>
  <si>
    <t>id_evidencia</t>
  </si>
  <si>
    <t>rol_participacion</t>
  </si>
  <si>
    <t>fecha_avance</t>
  </si>
  <si>
    <t>tipo_evidencia</t>
  </si>
  <si>
    <t>cantidad_ejecutada</t>
  </si>
  <si>
    <t>ruta_archivo</t>
  </si>
  <si>
    <t>observaciones</t>
  </si>
  <si>
    <t>hash_archivo</t>
  </si>
  <si>
    <t>CHAR(64)</t>
  </si>
  <si>
    <t>capturada_en</t>
  </si>
  <si>
    <t>latitud</t>
  </si>
  <si>
    <t>longitud</t>
  </si>
  <si>
    <t>incidencia</t>
  </si>
  <si>
    <t>actividad_incidencia</t>
  </si>
  <si>
    <t>acta</t>
  </si>
  <si>
    <t>id_incidencia</t>
  </si>
  <si>
    <t>id_acta</t>
  </si>
  <si>
    <t>tipo_incidencia</t>
  </si>
  <si>
    <t>numero_acta</t>
  </si>
  <si>
    <t>inicio_en</t>
  </si>
  <si>
    <t>periodo_inicio</t>
  </si>
  <si>
    <t>fin_en</t>
  </si>
  <si>
    <t>periodo_fin</t>
  </si>
  <si>
    <t>horas_perdidas</t>
  </si>
  <si>
    <t>NUMERIC(8,2)</t>
  </si>
  <si>
    <t>mejoras_propuestas</t>
  </si>
  <si>
    <t>justificacion</t>
  </si>
  <si>
    <t>solicitudes_cambio</t>
  </si>
  <si>
    <t>id_usuario_creador</t>
  </si>
  <si>
    <t>acta_avance</t>
  </si>
  <si>
    <t>acta_incidencia</t>
  </si>
  <si>
    <t>trabajador_acta</t>
  </si>
  <si>
    <t>tipo_participacion</t>
  </si>
  <si>
    <t>ruta_firma</t>
  </si>
  <si>
    <t>firmado_en</t>
  </si>
  <si>
    <t>aprobacion_acta</t>
  </si>
  <si>
    <t>tipo_epp</t>
  </si>
  <si>
    <t>epp</t>
  </si>
  <si>
    <t>id_aprobacion</t>
  </si>
  <si>
    <t>id_tipo_epp</t>
  </si>
  <si>
    <t>id_epp</t>
  </si>
  <si>
    <t>VARCHAR(250)</t>
  </si>
  <si>
    <t>codigo_interno</t>
  </si>
  <si>
    <t>decision</t>
  </si>
  <si>
    <t>vida_util_dias</t>
  </si>
  <si>
    <t>numero_serie</t>
  </si>
  <si>
    <t>comentario</t>
  </si>
  <si>
    <t>stock_minimo</t>
  </si>
  <si>
    <t>fecha_adquisicion</t>
  </si>
  <si>
    <t>condicion</t>
  </si>
  <si>
    <t>entrega_epp</t>
  </si>
  <si>
    <t>reposicion_epp</t>
  </si>
  <si>
    <t>movimiento_stock_epp</t>
  </si>
  <si>
    <t>id_entrega_epp</t>
  </si>
  <si>
    <t>id_reposicion_epp</t>
  </si>
  <si>
    <t>id_movimiento_epp</t>
  </si>
  <si>
    <t>id_entrega_origen</t>
  </si>
  <si>
    <t>id_entrega_nueva</t>
  </si>
  <si>
    <t>id_usuario_entrega</t>
  </si>
  <si>
    <t>tipo_movimiento</t>
  </si>
  <si>
    <t>VARCHAR(25)</t>
  </si>
  <si>
    <t>entregado_en</t>
  </si>
  <si>
    <t>condicion_entrega</t>
  </si>
  <si>
    <t>equipo_devuelto</t>
  </si>
  <si>
    <t>devuelto_en</t>
  </si>
  <si>
    <t>observacion</t>
  </si>
  <si>
    <t>condicion_devolucion</t>
  </si>
  <si>
    <t>solicitada_en</t>
  </si>
  <si>
    <t>ruta_constancia</t>
  </si>
  <si>
    <t>resuelta_en</t>
  </si>
  <si>
    <t>categoria_herramienta</t>
  </si>
  <si>
    <t>tipo_herramienta</t>
  </si>
  <si>
    <t>herramienta</t>
  </si>
  <si>
    <t>id_categoria</t>
  </si>
  <si>
    <t>id_tipo_herramienta</t>
  </si>
  <si>
    <t>id_herramienta</t>
  </si>
  <si>
    <t>marca</t>
  </si>
  <si>
    <t>modelo</t>
  </si>
  <si>
    <t>asignacion_herramienta</t>
  </si>
  <si>
    <t>incidencia_herramienta</t>
  </si>
  <si>
    <t>id_asignacion_herramienta</t>
  </si>
  <si>
    <t>id_incidencia_herramienta</t>
  </si>
  <si>
    <t>id_asignacion_trabajador_obra</t>
  </si>
  <si>
    <t>entregada_en</t>
  </si>
  <si>
    <t>resolucion</t>
  </si>
  <si>
    <t>devuelta_en</t>
  </si>
  <si>
    <t>costo_estimado</t>
  </si>
  <si>
    <t>N°</t>
  </si>
  <si>
    <t>Nombre de Tabla</t>
  </si>
  <si>
    <t>Tamaño de los campos en bytes</t>
  </si>
  <si>
    <t>Cantidad de Campos</t>
  </si>
  <si>
    <t>Cantidad de Registros</t>
  </si>
  <si>
    <t>Tamaño de Tabla (Bytes)</t>
  </si>
  <si>
    <t>Tamaño BD</t>
  </si>
  <si>
    <t>Total Kb Resumen</t>
  </si>
  <si>
    <t>Total Kb Base</t>
  </si>
  <si>
    <t>Total de la Base</t>
  </si>
  <si>
    <t>Total Data</t>
  </si>
  <si>
    <t>cargos</t>
  </si>
  <si>
    <t>permisos</t>
  </si>
  <si>
    <t>roles</t>
  </si>
  <si>
    <t>trabajadores</t>
  </si>
  <si>
    <t>usuarios</t>
  </si>
  <si>
    <t>usuarios_rol</t>
  </si>
  <si>
    <t>roles_permiso</t>
  </si>
  <si>
    <t>auditorias</t>
  </si>
  <si>
    <t>obras</t>
  </si>
  <si>
    <t>cuadrillas</t>
  </si>
  <si>
    <t>trabajadores_especialidad</t>
  </si>
  <si>
    <t>asignaciones_trabajador_obra</t>
  </si>
  <si>
    <t>cuadrillas_obra</t>
  </si>
  <si>
    <t>trabajadores_cuadrilla</t>
  </si>
  <si>
    <t>asistencias</t>
  </si>
  <si>
    <t>correcciones_asistencia</t>
  </si>
  <si>
    <t>actividades</t>
  </si>
  <si>
    <t>trabajadores_actividad</t>
  </si>
  <si>
    <t>avances</t>
  </si>
  <si>
    <t>evidencias</t>
  </si>
  <si>
    <t>incidencias</t>
  </si>
  <si>
    <t>actividades_incidencia</t>
  </si>
  <si>
    <t>actas</t>
  </si>
  <si>
    <t>actas_avance</t>
  </si>
  <si>
    <t>actas_incidencia</t>
  </si>
  <si>
    <t>trabajadores_acta</t>
  </si>
  <si>
    <t>aprobaciones_acta</t>
  </si>
  <si>
    <t>tipos_epp</t>
  </si>
  <si>
    <t>epps</t>
  </si>
  <si>
    <t>entregas_epp</t>
  </si>
  <si>
    <t>reposiciones_epp</t>
  </si>
  <si>
    <t>movimientos_stock_epp</t>
  </si>
  <si>
    <t>categorias_herramienta</t>
  </si>
  <si>
    <t>tipos_herramienta</t>
  </si>
  <si>
    <t>herramientas</t>
  </si>
  <si>
    <t>asignaciones_herramienta</t>
  </si>
  <si>
    <t>incidencias_herramienta</t>
  </si>
  <si>
    <t>Registrar usuario y asignar sus roles de acceso</t>
  </si>
  <si>
    <t>Actualizar datos, estado y rolaes de acceso del usuario</t>
  </si>
  <si>
    <t>Desactivar usuario, finalizar sus roles activos y registrar la operacion en auditoria</t>
  </si>
  <si>
    <t>Registrar rol con sus permisos asociados</t>
  </si>
  <si>
    <t>Modificar rol, permisos asociados y asignaciones de roles a usuarios</t>
  </si>
  <si>
    <t>Actualizar o desactivar trabajador, incluyendo cargo, especialidades y vigencia de certificaciones</t>
  </si>
  <si>
    <t>Asignar trabajador a una obra, especialidad y cuadrilla, inidcando periodo, contratacion y responsabilidad</t>
  </si>
  <si>
    <t>Registrar actividad, responsible y trabajadores asignados</t>
  </si>
  <si>
    <t>Elaborar ela cta con avances, incidencias, participantes, firmas y estado de aprobacion</t>
  </si>
  <si>
    <t>Registrar incidencia de obra y asociar las actividades afectadas</t>
  </si>
  <si>
    <t>Registrar tipo de EPP, equipo individual y movimiento autorizado de entrada al inventario</t>
  </si>
  <si>
    <t>Registrar solicitud, aprobacion y ejecucion de resposicion de EPP, actualizando sus movimiento de inventario</t>
  </si>
  <si>
    <t>Asignar herramienta a un trabajador y obra, registrando condicion, responsible y fecha de entrega</t>
  </si>
  <si>
    <t>Registrar devolucion, daño, perdida u otra incidencia de herramienta, incluyendo resolucion, costo y estado</t>
  </si>
  <si>
    <t>Consultar usuarios, estado y roles asignados</t>
  </si>
  <si>
    <t>Consultar roles, permisos y usuarios asociados</t>
  </si>
  <si>
    <t>Consultar obras, cuadrillas y periodos de asignacion</t>
  </si>
  <si>
    <t>Consultar trabajadores, cargos, especialidades, certificaciones y cuadrillas</t>
  </si>
  <si>
    <t>Consultar asignaciones de trabajdores y cuadrillas por obra</t>
  </si>
  <si>
    <t>Consultar actividades, responsables, trabajadores e incidencias relacionadas</t>
  </si>
  <si>
    <t>Consultar avances, evidencias y su relacion con actas de seguimiento</t>
  </si>
  <si>
    <t>Consultar incidencias y actividades afectadas</t>
  </si>
  <si>
    <t>Consultar tipos de EPP, equipos disponibles, condicion y movimientos de inventario</t>
  </si>
  <si>
    <t>Consultar entregas, devoluciones, resposiciones e historila de EPP por trabajador y obra</t>
  </si>
  <si>
    <t>Consultar herramientas por categoria, tipo, condicion y estado</t>
  </si>
  <si>
    <t>Consultar enregas, devolcuiones e incidencias por trabajdor y obra</t>
  </si>
  <si>
    <t>Consolidado de asistencia, incluyendo correciones autorizadas</t>
  </si>
  <si>
    <t>Reporte de entregas, devoluciones y reposiciones de EPP por trabajdor y obra</t>
  </si>
  <si>
    <t>Acta Semanal de seguimiento con avances, incidencia, participantes, firmas y aprobacion</t>
  </si>
  <si>
    <t>Actualizar actividad, responsible, trabajadores participantes y estado de ejecucion exigiendo una justificación cuando sea marcada como incompleta o retrasada</t>
  </si>
  <si>
    <t>Registrar avance físico de una actividad y asociarlo con el periodo de seguimiento correspondiente con almacenamiento local y sincronización posterior</t>
  </si>
  <si>
    <t>Registrar entrada y salida del trabajador y gestionar correciones autorizadas de asistencia con almacenamiento local y sincronización posterior</t>
  </si>
  <si>
    <t>Cargar evidencia del avance con archivo, ubicacion, fecha, usuario y datos de sincronizacion con almacenamiento local y envío posterior.</t>
  </si>
  <si>
    <t>Registrar entrega o devolucion de EPP, condicion del equipo, constancia y movimiento de inventario sin conexión y sincronizarlos posteriormente</t>
  </si>
  <si>
    <t>Registrar / actualizar herramienta, categoria, tipo, condicion y estado en inventario sin conexión y sincronizarlos posteriormente</t>
  </si>
  <si>
    <t>especialidades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</si>
</sst>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C$&quot;* #,##0.00_-;\-&quot;C$&quot;* #,##0.00_-;_-&quot;C$&quot;* &quot;-&quot;??_-;_-@_-"/>
    <numFmt numFmtId="164" formatCode="0.00000000"/>
    <numFmt numFmtId="165" formatCode="_-[$$-409]* #,##0.00_ ;_-[$$-409]* \-#,##0.00\ ;_-[$$-409]* &quot;-&quot;??_ ;_-@_ "/>
    <numFmt numFmtId="166" formatCode="0.0"/>
  </numFmts>
  <fonts count="10" x14ac:knownFonts="1">
    <font>
      <sz val="11"/>
      <color theme="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444444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2"/>
      <color rgb="FF002060"/>
      <name val="Arial"/>
      <family val="2"/>
    </font>
    <font>
      <sz val="12"/>
      <color theme="1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D9D9D9"/>
      </patternFill>
    </fill>
    <fill>
      <patternFill patternType="solid">
        <fgColor rgb="FFCAD8DB"/>
      </patternFill>
    </fill>
    <fill>
      <patternFill patternType="solid">
        <fgColor rgb="FF9BC2E6"/>
      </patternFill>
    </fill>
    <fill>
      <patternFill patternType="solid">
        <fgColor rgb="FFFFC000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2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/>
    <xf numFmtId="0" fontId="0" fillId="4" borderId="0" xfId="0" applyFill="1"/>
    <xf numFmtId="0" fontId="0" fillId="0" borderId="7" xfId="0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vertical="center"/>
    </xf>
    <xf numFmtId="10" fontId="7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5" fontId="0" fillId="0" borderId="1" xfId="0" applyNumberFormat="1" applyBorder="1"/>
    <xf numFmtId="165" fontId="0" fillId="0" borderId="0" xfId="0" applyNumberFormat="1"/>
    <xf numFmtId="0" fontId="0" fillId="8" borderId="1" xfId="0" applyFill="1" applyBorder="1"/>
    <xf numFmtId="165" fontId="0" fillId="3" borderId="1" xfId="0" applyNumberFormat="1" applyFill="1" applyBorder="1"/>
    <xf numFmtId="0" fontId="0" fillId="3" borderId="5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44" fontId="0" fillId="0" borderId="0" xfId="0" applyNumberFormat="1"/>
    <xf numFmtId="44" fontId="0" fillId="0" borderId="1" xfId="0" applyNumberFormat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44" fontId="0" fillId="0" borderId="7" xfId="0" applyNumberFormat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9" borderId="1" xfId="0" applyNumberFormat="1" applyFill="1" applyBorder="1"/>
    <xf numFmtId="165" fontId="0" fillId="0" borderId="1" xfId="0" applyNumberFormat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4" borderId="17" xfId="0" applyFont="1" applyFill="1" applyBorder="1"/>
    <xf numFmtId="165" fontId="0" fillId="4" borderId="19" xfId="0" applyNumberFormat="1" applyFill="1" applyBorder="1"/>
    <xf numFmtId="0" fontId="2" fillId="4" borderId="18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3" xfId="0" applyBorder="1"/>
    <xf numFmtId="0" fontId="0" fillId="0" borderId="25" xfId="0" applyBorder="1"/>
    <xf numFmtId="0" fontId="0" fillId="0" borderId="27" xfId="0" applyBorder="1"/>
    <xf numFmtId="0" fontId="2" fillId="4" borderId="20" xfId="0" applyFont="1" applyFill="1" applyBorder="1"/>
    <xf numFmtId="0" fontId="2" fillId="4" borderId="22" xfId="0" applyFont="1" applyFill="1" applyBorder="1"/>
    <xf numFmtId="0" fontId="2" fillId="4" borderId="24" xfId="0" applyFont="1" applyFill="1" applyBorder="1"/>
    <xf numFmtId="0" fontId="2" fillId="4" borderId="26" xfId="0" applyFont="1" applyFill="1" applyBorder="1"/>
    <xf numFmtId="0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 wrapText="1"/>
    </xf>
    <xf numFmtId="0" fontId="0" fillId="10" borderId="11" xfId="0" applyFill="1" applyBorder="1"/>
    <xf numFmtId="0" fontId="0" fillId="0" borderId="11" xfId="0" applyBorder="1"/>
    <xf numFmtId="166" fontId="0" fillId="0" borderId="11" xfId="0" applyNumberFormat="1" applyBorder="1"/>
    <xf numFmtId="166" fontId="0" fillId="0" borderId="1" xfId="0" applyNumberFormat="1" applyBorder="1"/>
    <xf numFmtId="0" fontId="1" fillId="12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1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horizontal="left" vertical="center"/>
    </xf>
    <xf numFmtId="0" fontId="1" fillId="13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right" vertical="center"/>
    </xf>
    <xf numFmtId="2" fontId="0" fillId="0" borderId="0" xfId="0" applyNumberFormat="1"/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" fillId="14" borderId="1" xfId="0" applyNumberFormat="1" applyFont="1" applyFill="1" applyBorder="1" applyAlignment="1">
      <alignment horizontal="right" vertical="center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11" borderId="1" xfId="0" applyNumberFormat="1" applyFont="1" applyFill="1" applyBorder="1" applyAlignment="1">
      <alignment horizontal="center" vertical="center"/>
    </xf>
    <xf numFmtId="0" fontId="8" fillId="11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caf87d63957e483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301816</xdr:colOff>
      <xdr:row>0</xdr:row>
      <xdr:rowOff>128702</xdr:rowOff>
    </xdr:from>
    <xdr:to>
      <xdr:col>14</xdr:col>
      <xdr:colOff>601498</xdr:colOff>
      <xdr:row>4</xdr:row>
      <xdr:rowOff>372446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495300</xdr:colOff>
      <xdr:row>0</xdr:row>
      <xdr:rowOff>180975</xdr:rowOff>
    </xdr:from>
    <xdr:to>
      <xdr:col>19</xdr:col>
      <xdr:colOff>265149</xdr:colOff>
      <xdr:row>8</xdr:row>
      <xdr:rowOff>142875</xdr:rowOff>
    </xdr:to>
    <xdr:pic>
      <xdr:nvPicPr>
        <xdr:cNvPr id="4" name="/xl/media/image2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575930</xdr:colOff>
      <xdr:row>1</xdr:row>
      <xdr:rowOff>26581</xdr:rowOff>
    </xdr:from>
    <xdr:to>
      <xdr:col>32</xdr:col>
      <xdr:colOff>531628</xdr:colOff>
      <xdr:row>36</xdr:row>
      <xdr:rowOff>145756</xdr:rowOff>
    </xdr:to>
    <xdr:pic>
      <xdr:nvPicPr>
        <xdr:cNvPr id="5" name="/xl/media/image3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274320</xdr:colOff>
      <xdr:row>41</xdr:row>
      <xdr:rowOff>121920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274320</xdr:colOff>
      <xdr:row>41</xdr:row>
      <xdr:rowOff>121920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19714F3A-43A6-43BF-8182-A91246BA30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274320</xdr:colOff>
      <xdr:row>41</xdr:row>
      <xdr:rowOff>121920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C81044AF-5A5F-4ADF-BF92-77E5CEC68C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274320</xdr:colOff>
      <xdr:row>41</xdr:row>
      <xdr:rowOff>121920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89302052-1132-4247-A946-EED73C18CD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7</xdr:row>
      <xdr:rowOff>0</xdr:rowOff>
    </xdr:from>
    <xdr:to>
      <xdr:col>27</xdr:col>
      <xdr:colOff>247650</xdr:colOff>
      <xdr:row>14</xdr:row>
      <xdr:rowOff>123825</xdr:rowOff>
    </xdr:to>
    <xdr:pic>
      <xdr:nvPicPr>
        <xdr:cNvPr id="4" name="/xl/media/image4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541020</xdr:colOff>
      <xdr:row>41</xdr:row>
      <xdr:rowOff>121920</xdr:rowOff>
    </xdr:to>
    <xdr:sp macro="" textlink="">
      <xdr:nvSpPr>
        <xdr:cNvPr id="3096" name="Text Box 24" hidden="1">
          <a:extLst>
            <a:ext uri="{FF2B5EF4-FFF2-40B4-BE49-F238E27FC236}">
              <a16:creationId xmlns:a16="http://schemas.microsoft.com/office/drawing/2014/main" id="{00000000-0008-0000-0400-000018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541020</xdr:colOff>
      <xdr:row>41</xdr:row>
      <xdr:rowOff>121920</xdr:rowOff>
    </xdr:to>
    <xdr:sp macro="" textlink="">
      <xdr:nvSpPr>
        <xdr:cNvPr id="2" name="AutoShape 24">
          <a:extLst>
            <a:ext uri="{FF2B5EF4-FFF2-40B4-BE49-F238E27FC236}">
              <a16:creationId xmlns:a16="http://schemas.microsoft.com/office/drawing/2014/main" id="{037F2016-3AD4-44DE-A86E-0597282A29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541020</xdr:colOff>
      <xdr:row>41</xdr:row>
      <xdr:rowOff>121920</xdr:rowOff>
    </xdr:to>
    <xdr:sp macro="" textlink="">
      <xdr:nvSpPr>
        <xdr:cNvPr id="3" name="AutoShape 24">
          <a:extLst>
            <a:ext uri="{FF2B5EF4-FFF2-40B4-BE49-F238E27FC236}">
              <a16:creationId xmlns:a16="http://schemas.microsoft.com/office/drawing/2014/main" id="{35B5F45D-C7C7-48AC-9617-69F00EC5F9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541020</xdr:colOff>
      <xdr:row>41</xdr:row>
      <xdr:rowOff>121920</xdr:rowOff>
    </xdr:to>
    <xdr:sp macro="" textlink="">
      <xdr:nvSpPr>
        <xdr:cNvPr id="5" name="AutoShape 24">
          <a:extLst>
            <a:ext uri="{FF2B5EF4-FFF2-40B4-BE49-F238E27FC236}">
              <a16:creationId xmlns:a16="http://schemas.microsoft.com/office/drawing/2014/main" id="{D9852A1D-5A0D-4D5B-9227-5A7FC41B72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5</xdr:row>
      <xdr:rowOff>142875</xdr:rowOff>
    </xdr:from>
    <xdr:to>
      <xdr:col>4</xdr:col>
      <xdr:colOff>295275</xdr:colOff>
      <xdr:row>7</xdr:row>
      <xdr:rowOff>97155</xdr:rowOff>
    </xdr:to>
    <xdr:pic>
      <xdr:nvPicPr>
        <xdr:cNvPr id="4" name="/xl/media/image5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8</xdr:row>
      <xdr:rowOff>161925</xdr:rowOff>
    </xdr:from>
    <xdr:to>
      <xdr:col>1</xdr:col>
      <xdr:colOff>413456</xdr:colOff>
      <xdr:row>10</xdr:row>
      <xdr:rowOff>131476</xdr:rowOff>
    </xdr:to>
    <xdr:pic>
      <xdr:nvPicPr>
        <xdr:cNvPr id="5" name="/xl/media/image6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830580</xdr:colOff>
      <xdr:row>40</xdr:row>
      <xdr:rowOff>83820</xdr:rowOff>
    </xdr:to>
    <xdr:sp macro="" textlink="">
      <xdr:nvSpPr>
        <xdr:cNvPr id="4100" name="Text Box 4" hidden="1">
          <a:extLst>
            <a:ext uri="{FF2B5EF4-FFF2-40B4-BE49-F238E27FC236}">
              <a16:creationId xmlns:a16="http://schemas.microsoft.com/office/drawing/2014/main" id="{00000000-0008-0000-0500-0000041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830580</xdr:colOff>
      <xdr:row>40</xdr:row>
      <xdr:rowOff>83820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7239F49E-5ED5-43CA-A7C1-D92B24432D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830580</xdr:colOff>
      <xdr:row>40</xdr:row>
      <xdr:rowOff>83820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71075AE8-3058-440B-BA69-1929528830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343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830580</xdr:colOff>
      <xdr:row>40</xdr:row>
      <xdr:rowOff>83820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A065FBD1-EAC8-44D1-9FDB-A216645B36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343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Edwin Ricardo Lopez Garcia" id="{64AC5B90-DFA1-24A3-0832-38FBD1DC734C}"/>
  <xltc:person displayName="Edwin Ricardo Lopez Garcia" id="{2960CAC7-03C8-2631-D452-EDB2427434CC}"/>
  <xltc:person displayName="Edwin Ricardo Lopez Garcia" id="{E5412192-4316-32BB-77EE-796B85623D76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P37"/>
  <sheetViews>
    <sheetView showGridLines="0" topLeftCell="A8" zoomScale="73" workbookViewId="0">
      <selection activeCell="F27" sqref="F27"/>
    </sheetView>
  </sheetViews>
  <sheetFormatPr baseColWidth="10" defaultColWidth="8.88671875" defaultRowHeight="14.4" x14ac:dyDescent="0.3"/>
  <cols>
    <col min="3" max="3" width="61" bestFit="1" customWidth="1"/>
    <col min="4" max="4" width="13" customWidth="1"/>
    <col min="6" max="6" width="32" customWidth="1"/>
    <col min="7" max="7" width="13" customWidth="1"/>
    <col min="9" max="9" width="34" customWidth="1"/>
    <col min="10" max="10" width="13" customWidth="1"/>
    <col min="12" max="12" width="34" customWidth="1"/>
    <col min="13" max="13" width="13" customWidth="1"/>
    <col min="15" max="15" width="34" customWidth="1"/>
    <col min="16" max="16" width="13" customWidth="1"/>
  </cols>
  <sheetData>
    <row r="3" spans="3:16" x14ac:dyDescent="0.3">
      <c r="C3" s="98" t="s">
        <v>0</v>
      </c>
      <c r="D3" s="98"/>
      <c r="E3" s="71"/>
      <c r="F3" s="98" t="s">
        <v>1</v>
      </c>
      <c r="G3" s="98"/>
      <c r="H3" s="71"/>
      <c r="I3" s="98" t="s">
        <v>2</v>
      </c>
      <c r="J3" s="98"/>
      <c r="K3" s="71"/>
      <c r="L3" s="98" t="s">
        <v>3</v>
      </c>
      <c r="M3" s="98"/>
      <c r="N3" s="71"/>
      <c r="O3" s="98" t="s">
        <v>4</v>
      </c>
      <c r="P3" s="98"/>
    </row>
    <row r="4" spans="3:16" x14ac:dyDescent="0.3">
      <c r="C4" s="72" t="s">
        <v>5</v>
      </c>
      <c r="D4" s="72" t="s">
        <v>6</v>
      </c>
      <c r="E4" s="71"/>
      <c r="F4" s="72" t="s">
        <v>5</v>
      </c>
      <c r="G4" s="72" t="s">
        <v>6</v>
      </c>
      <c r="H4" s="71"/>
      <c r="I4" s="72" t="s">
        <v>5</v>
      </c>
      <c r="J4" s="72" t="s">
        <v>6</v>
      </c>
      <c r="K4" s="71"/>
      <c r="L4" s="72" t="s">
        <v>5</v>
      </c>
      <c r="M4" s="72" t="s">
        <v>6</v>
      </c>
      <c r="N4" s="71"/>
      <c r="O4" s="72" t="s">
        <v>5</v>
      </c>
      <c r="P4" s="72" t="s">
        <v>6</v>
      </c>
    </row>
    <row r="5" spans="3:16" ht="28.8" x14ac:dyDescent="0.3">
      <c r="C5" s="69" t="s">
        <v>7</v>
      </c>
      <c r="D5" s="73" t="s">
        <v>8</v>
      </c>
      <c r="E5" s="71"/>
      <c r="F5" s="94" t="s">
        <v>480</v>
      </c>
      <c r="G5" s="73" t="s">
        <v>9</v>
      </c>
      <c r="H5" s="71"/>
      <c r="I5" s="94" t="s">
        <v>468</v>
      </c>
      <c r="J5" s="73" t="s">
        <v>9</v>
      </c>
      <c r="K5" s="71"/>
      <c r="L5" s="69" t="s">
        <v>10</v>
      </c>
      <c r="M5" s="73" t="s">
        <v>8</v>
      </c>
      <c r="N5" s="71"/>
      <c r="O5" s="70" t="s">
        <v>11</v>
      </c>
      <c r="P5" s="73"/>
    </row>
    <row r="6" spans="3:16" ht="43.2" x14ac:dyDescent="0.3">
      <c r="C6" s="94" t="s">
        <v>454</v>
      </c>
      <c r="D6" s="73" t="s">
        <v>9</v>
      </c>
      <c r="E6" s="71"/>
      <c r="F6" s="94" t="s">
        <v>481</v>
      </c>
      <c r="G6" s="73" t="s">
        <v>12</v>
      </c>
      <c r="H6" s="71"/>
      <c r="I6" s="94" t="s">
        <v>469</v>
      </c>
      <c r="J6" s="73" t="s">
        <v>9</v>
      </c>
      <c r="K6" s="71"/>
      <c r="L6" s="69" t="s">
        <v>13</v>
      </c>
      <c r="M6" s="73" t="s">
        <v>9</v>
      </c>
      <c r="N6" s="71"/>
      <c r="O6" s="73"/>
      <c r="P6" s="73"/>
    </row>
    <row r="7" spans="3:16" ht="28.8" x14ac:dyDescent="0.3">
      <c r="C7" s="94" t="s">
        <v>455</v>
      </c>
      <c r="D7" s="73" t="s">
        <v>9</v>
      </c>
      <c r="E7" s="71"/>
      <c r="F7" s="97" t="s">
        <v>482</v>
      </c>
      <c r="G7" s="73" t="s">
        <v>12</v>
      </c>
      <c r="H7" s="71"/>
      <c r="I7" s="94" t="s">
        <v>470</v>
      </c>
      <c r="J7" s="73" t="s">
        <v>8</v>
      </c>
      <c r="K7" s="71"/>
      <c r="L7" s="69" t="s">
        <v>14</v>
      </c>
      <c r="M7" s="73" t="s">
        <v>8</v>
      </c>
      <c r="N7" s="71"/>
      <c r="O7" s="73"/>
      <c r="P7" s="73"/>
    </row>
    <row r="8" spans="3:16" ht="43.2" x14ac:dyDescent="0.3">
      <c r="C8" s="94" t="s">
        <v>456</v>
      </c>
      <c r="D8" s="73" t="s">
        <v>8</v>
      </c>
      <c r="E8" s="71"/>
      <c r="F8" s="74"/>
      <c r="G8" s="73"/>
      <c r="H8" s="71"/>
      <c r="I8" s="94" t="s">
        <v>471</v>
      </c>
      <c r="J8" s="73" t="s">
        <v>8</v>
      </c>
      <c r="K8" s="71"/>
      <c r="L8" s="69" t="s">
        <v>15</v>
      </c>
      <c r="M8" s="73" t="s">
        <v>8</v>
      </c>
      <c r="N8" s="71"/>
      <c r="O8" s="73"/>
      <c r="P8" s="73"/>
    </row>
    <row r="9" spans="3:16" ht="28.8" x14ac:dyDescent="0.3">
      <c r="C9" s="94" t="s">
        <v>457</v>
      </c>
      <c r="D9" s="95" t="s">
        <v>9</v>
      </c>
      <c r="E9" s="75"/>
      <c r="F9" s="74"/>
      <c r="G9" s="73"/>
      <c r="H9" s="75"/>
      <c r="I9" s="94" t="s">
        <v>472</v>
      </c>
      <c r="J9" s="73" t="s">
        <v>9</v>
      </c>
      <c r="K9" s="75"/>
      <c r="L9" s="69" t="s">
        <v>16</v>
      </c>
      <c r="M9" s="73" t="s">
        <v>8</v>
      </c>
      <c r="N9" s="75"/>
      <c r="O9" s="73"/>
      <c r="P9" s="73"/>
    </row>
    <row r="10" spans="3:16" ht="28.8" x14ac:dyDescent="0.3">
      <c r="C10" s="94" t="s">
        <v>458</v>
      </c>
      <c r="D10" s="73" t="s">
        <v>9</v>
      </c>
      <c r="E10" s="75"/>
      <c r="F10" s="74"/>
      <c r="G10" s="73"/>
      <c r="H10" s="75"/>
      <c r="I10" s="94" t="s">
        <v>473</v>
      </c>
      <c r="J10" s="73" t="s">
        <v>9</v>
      </c>
      <c r="K10" s="75"/>
      <c r="L10" s="69" t="s">
        <v>17</v>
      </c>
      <c r="M10" s="73" t="s">
        <v>8</v>
      </c>
      <c r="N10" s="75"/>
      <c r="O10" s="75"/>
      <c r="P10" s="75"/>
    </row>
    <row r="11" spans="3:16" ht="28.8" x14ac:dyDescent="0.3">
      <c r="C11" s="69" t="s">
        <v>18</v>
      </c>
      <c r="D11" s="73" t="s">
        <v>8</v>
      </c>
      <c r="E11" s="75"/>
      <c r="F11" s="74"/>
      <c r="G11" s="73"/>
      <c r="H11" s="75"/>
      <c r="I11" s="94" t="s">
        <v>474</v>
      </c>
      <c r="J11" s="73" t="s">
        <v>12</v>
      </c>
      <c r="K11" s="75"/>
      <c r="L11" s="69" t="s">
        <v>19</v>
      </c>
      <c r="M11" s="73" t="s">
        <v>8</v>
      </c>
      <c r="N11" s="75"/>
      <c r="O11" s="75"/>
      <c r="P11" s="75"/>
    </row>
    <row r="12" spans="3:16" ht="28.8" x14ac:dyDescent="0.3">
      <c r="C12" s="69" t="s">
        <v>20</v>
      </c>
      <c r="D12" s="73" t="s">
        <v>8</v>
      </c>
      <c r="E12" s="75"/>
      <c r="F12" s="74"/>
      <c r="G12" s="73"/>
      <c r="H12" s="75"/>
      <c r="I12" s="94" t="s">
        <v>475</v>
      </c>
      <c r="J12" s="73" t="s">
        <v>9</v>
      </c>
      <c r="K12" s="75"/>
      <c r="L12" s="69" t="s">
        <v>21</v>
      </c>
      <c r="M12" s="73" t="s">
        <v>9</v>
      </c>
      <c r="N12" s="75"/>
      <c r="O12" s="75"/>
      <c r="P12" s="75"/>
    </row>
    <row r="13" spans="3:16" ht="43.2" x14ac:dyDescent="0.3">
      <c r="C13" s="69" t="s">
        <v>22</v>
      </c>
      <c r="D13" s="95" t="s">
        <v>9</v>
      </c>
      <c r="E13" s="75"/>
      <c r="F13" s="74"/>
      <c r="G13" s="73"/>
      <c r="H13" s="75"/>
      <c r="I13" s="94" t="s">
        <v>476</v>
      </c>
      <c r="J13" s="73" t="s">
        <v>8</v>
      </c>
      <c r="K13" s="75"/>
      <c r="L13" s="69" t="s">
        <v>23</v>
      </c>
      <c r="M13" s="73" t="s">
        <v>8</v>
      </c>
      <c r="N13" s="75"/>
      <c r="O13" s="75"/>
      <c r="P13" s="75"/>
    </row>
    <row r="14" spans="3:16" ht="43.2" x14ac:dyDescent="0.3">
      <c r="C14" s="94" t="s">
        <v>459</v>
      </c>
      <c r="D14" s="73" t="s">
        <v>8</v>
      </c>
      <c r="E14" s="75"/>
      <c r="F14" s="74"/>
      <c r="G14" s="73"/>
      <c r="H14" s="75"/>
      <c r="I14" s="94" t="s">
        <v>477</v>
      </c>
      <c r="J14" s="73" t="s">
        <v>12</v>
      </c>
      <c r="K14" s="75"/>
      <c r="L14" s="69" t="s">
        <v>24</v>
      </c>
      <c r="M14" s="73" t="s">
        <v>9</v>
      </c>
      <c r="N14" s="75"/>
      <c r="O14" s="75"/>
      <c r="P14" s="75"/>
    </row>
    <row r="15" spans="3:16" ht="28.8" x14ac:dyDescent="0.3">
      <c r="C15" s="94" t="s">
        <v>460</v>
      </c>
      <c r="D15" s="73" t="s">
        <v>12</v>
      </c>
      <c r="E15" s="75"/>
      <c r="F15" s="74"/>
      <c r="G15" s="73"/>
      <c r="H15" s="75"/>
      <c r="I15" s="94" t="s">
        <v>478</v>
      </c>
      <c r="J15" s="73" t="s">
        <v>8</v>
      </c>
      <c r="K15" s="75"/>
      <c r="L15" s="69" t="s">
        <v>25</v>
      </c>
      <c r="M15" s="73" t="s">
        <v>8</v>
      </c>
      <c r="N15" s="75"/>
      <c r="O15" s="75"/>
      <c r="P15" s="75"/>
    </row>
    <row r="16" spans="3:16" ht="43.2" x14ac:dyDescent="0.3">
      <c r="C16" s="94" t="s">
        <v>485</v>
      </c>
      <c r="D16" s="73" t="s">
        <v>12</v>
      </c>
      <c r="E16" s="75"/>
      <c r="F16" s="74"/>
      <c r="G16" s="73"/>
      <c r="H16" s="75"/>
      <c r="I16" s="96" t="s">
        <v>479</v>
      </c>
      <c r="J16" s="73" t="s">
        <v>12</v>
      </c>
      <c r="K16" s="75"/>
      <c r="L16" s="69" t="s">
        <v>26</v>
      </c>
      <c r="M16" s="73" t="s">
        <v>9</v>
      </c>
      <c r="N16" s="75"/>
      <c r="O16" s="75"/>
      <c r="P16" s="75"/>
    </row>
    <row r="17" spans="3:16" x14ac:dyDescent="0.3">
      <c r="C17" s="94" t="s">
        <v>461</v>
      </c>
      <c r="D17" s="73" t="s">
        <v>12</v>
      </c>
      <c r="E17" s="75"/>
      <c r="F17" s="75"/>
      <c r="G17" s="75"/>
      <c r="H17" s="75"/>
      <c r="I17" s="75"/>
      <c r="J17" s="75"/>
      <c r="K17" s="75"/>
      <c r="L17" s="69" t="s">
        <v>27</v>
      </c>
      <c r="M17" s="73" t="s">
        <v>9</v>
      </c>
      <c r="N17" s="75"/>
      <c r="O17" s="75"/>
      <c r="P17" s="75"/>
    </row>
    <row r="18" spans="3:16" ht="43.2" x14ac:dyDescent="0.3">
      <c r="C18" s="94" t="s">
        <v>483</v>
      </c>
      <c r="D18" s="73" t="s">
        <v>12</v>
      </c>
      <c r="E18" s="75"/>
      <c r="F18" s="75"/>
      <c r="G18" s="75"/>
      <c r="H18" s="75"/>
      <c r="I18" s="75"/>
      <c r="J18" s="75"/>
      <c r="K18" s="75"/>
      <c r="L18" s="69" t="s">
        <v>28</v>
      </c>
      <c r="M18" s="73" t="s">
        <v>8</v>
      </c>
      <c r="N18" s="75"/>
      <c r="O18" s="75"/>
      <c r="P18" s="75"/>
    </row>
    <row r="19" spans="3:16" ht="43.2" x14ac:dyDescent="0.3">
      <c r="C19" s="94" t="s">
        <v>484</v>
      </c>
      <c r="D19" s="73" t="s">
        <v>9</v>
      </c>
      <c r="E19" s="75"/>
      <c r="F19" s="75"/>
      <c r="G19" s="75"/>
      <c r="H19" s="75"/>
      <c r="I19" s="75"/>
      <c r="J19" s="75"/>
      <c r="K19" s="75"/>
      <c r="L19" s="76" t="s">
        <v>29</v>
      </c>
      <c r="M19" s="73" t="s">
        <v>9</v>
      </c>
      <c r="N19" s="75"/>
      <c r="O19" s="75"/>
      <c r="P19" s="75"/>
    </row>
    <row r="20" spans="3:16" ht="28.8" x14ac:dyDescent="0.3">
      <c r="C20" s="94" t="s">
        <v>486</v>
      </c>
      <c r="D20" s="73" t="s">
        <v>12</v>
      </c>
      <c r="E20" s="75"/>
      <c r="F20" s="75"/>
      <c r="G20" s="75"/>
      <c r="H20" s="75"/>
      <c r="I20" s="75"/>
      <c r="J20" s="75"/>
      <c r="K20" s="75"/>
      <c r="L20" s="76" t="s">
        <v>30</v>
      </c>
      <c r="M20" s="73" t="s">
        <v>8</v>
      </c>
      <c r="N20" s="75"/>
      <c r="O20" s="75"/>
      <c r="P20" s="75"/>
    </row>
    <row r="21" spans="3:16" ht="28.8" x14ac:dyDescent="0.3">
      <c r="C21" s="94" t="s">
        <v>462</v>
      </c>
      <c r="D21" s="73" t="s">
        <v>12</v>
      </c>
      <c r="E21" s="75"/>
      <c r="J21" s="75"/>
      <c r="K21" s="75"/>
      <c r="L21" s="75"/>
      <c r="M21" s="75"/>
      <c r="N21" s="75"/>
      <c r="O21" s="75"/>
      <c r="P21" s="75"/>
    </row>
    <row r="22" spans="3:16" x14ac:dyDescent="0.3">
      <c r="C22" s="94" t="s">
        <v>463</v>
      </c>
      <c r="D22" s="95" t="s">
        <v>12</v>
      </c>
      <c r="E22" s="75"/>
      <c r="J22" s="75"/>
      <c r="K22" s="75"/>
      <c r="L22" s="75"/>
      <c r="M22" s="75"/>
      <c r="N22" s="75"/>
      <c r="O22" s="75"/>
      <c r="P22" s="75"/>
    </row>
    <row r="23" spans="3:16" ht="28.8" x14ac:dyDescent="0.3">
      <c r="C23" s="94" t="s">
        <v>464</v>
      </c>
      <c r="D23" s="73" t="s">
        <v>9</v>
      </c>
      <c r="E23" s="75"/>
      <c r="J23" s="75"/>
      <c r="K23" s="75"/>
      <c r="L23" s="75"/>
      <c r="M23" s="75"/>
      <c r="N23" s="75"/>
      <c r="O23" s="75"/>
      <c r="P23" s="75"/>
    </row>
    <row r="24" spans="3:16" ht="28.8" x14ac:dyDescent="0.3">
      <c r="C24" s="94" t="s">
        <v>487</v>
      </c>
      <c r="D24" s="73" t="s">
        <v>12</v>
      </c>
      <c r="E24" s="75"/>
      <c r="J24" s="75"/>
      <c r="K24" s="75"/>
      <c r="L24" s="75"/>
      <c r="M24" s="75"/>
      <c r="N24" s="75"/>
      <c r="O24" s="75"/>
      <c r="P24" s="75"/>
    </row>
    <row r="25" spans="3:16" ht="28.8" x14ac:dyDescent="0.3">
      <c r="C25" s="94" t="s">
        <v>465</v>
      </c>
      <c r="D25" s="73" t="s">
        <v>12</v>
      </c>
      <c r="E25" s="75"/>
      <c r="J25" s="75"/>
      <c r="K25" s="75"/>
      <c r="L25" s="75"/>
      <c r="M25" s="75"/>
      <c r="N25" s="75"/>
      <c r="O25" s="75"/>
      <c r="P25" s="75"/>
    </row>
    <row r="26" spans="3:16" ht="28.8" x14ac:dyDescent="0.3">
      <c r="C26" s="94" t="s">
        <v>488</v>
      </c>
      <c r="D26" s="95" t="s">
        <v>9</v>
      </c>
      <c r="E26" s="75"/>
      <c r="J26" s="75"/>
      <c r="K26" s="75"/>
      <c r="L26" s="75"/>
      <c r="M26" s="75"/>
      <c r="N26" s="75"/>
      <c r="O26" s="75"/>
      <c r="P26" s="75"/>
    </row>
    <row r="27" spans="3:16" ht="28.8" x14ac:dyDescent="0.3">
      <c r="C27" s="94" t="s">
        <v>466</v>
      </c>
      <c r="D27" s="73" t="s">
        <v>12</v>
      </c>
      <c r="E27" s="75"/>
      <c r="J27" s="75"/>
      <c r="K27" s="75"/>
      <c r="L27" s="75"/>
      <c r="M27" s="75"/>
      <c r="N27" s="75"/>
      <c r="O27" s="75"/>
      <c r="P27" s="75"/>
    </row>
    <row r="28" spans="3:16" ht="28.8" x14ac:dyDescent="0.3">
      <c r="C28" s="94" t="s">
        <v>467</v>
      </c>
      <c r="D28" s="95" t="s">
        <v>12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</row>
    <row r="29" spans="3:16" x14ac:dyDescent="0.3">
      <c r="C29" s="74"/>
      <c r="D29" s="73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</row>
    <row r="31" spans="3:16" x14ac:dyDescent="0.3">
      <c r="C31" s="99" t="s">
        <v>31</v>
      </c>
      <c r="D31" s="100"/>
      <c r="E31" s="100"/>
      <c r="F31" s="101"/>
    </row>
    <row r="32" spans="3:16" x14ac:dyDescent="0.3">
      <c r="C32" s="5"/>
      <c r="D32" s="5" t="s">
        <v>8</v>
      </c>
      <c r="E32" s="5" t="s">
        <v>9</v>
      </c>
      <c r="F32" s="5" t="s">
        <v>12</v>
      </c>
    </row>
    <row r="33" spans="3:6" x14ac:dyDescent="0.3">
      <c r="C33" s="5" t="s">
        <v>0</v>
      </c>
      <c r="D33" s="4">
        <f>COUNTIF(D$5:D$28,"Bajo")</f>
        <v>5</v>
      </c>
      <c r="E33" s="4">
        <f>COUNTIF(D$5:D$28,"Medio")</f>
        <v>8</v>
      </c>
      <c r="F33" s="4">
        <f>COUNTIF(D5:D28,"Alto")</f>
        <v>11</v>
      </c>
    </row>
    <row r="34" spans="3:6" x14ac:dyDescent="0.3">
      <c r="C34" s="5" t="s">
        <v>1</v>
      </c>
      <c r="D34" s="4">
        <f>COUNTIF(G$5:G$6,"Bajo")</f>
        <v>0</v>
      </c>
      <c r="E34" s="4">
        <f>COUNTIF(G$5:G$6,"Medio")</f>
        <v>1</v>
      </c>
      <c r="F34" s="4">
        <f>COUNTIF(G$5:G$7,"Alto")</f>
        <v>2</v>
      </c>
    </row>
    <row r="35" spans="3:6" x14ac:dyDescent="0.3">
      <c r="C35" s="5" t="s">
        <v>2</v>
      </c>
      <c r="D35" s="4">
        <f>COUNTIF(J$5:J$16,"Bajo")</f>
        <v>4</v>
      </c>
      <c r="E35" s="4">
        <f>COUNTIF(J$5:J$16,"Medio")</f>
        <v>5</v>
      </c>
      <c r="F35" s="4">
        <f>COUNTIF(J$5:J$16,"Alto")</f>
        <v>3</v>
      </c>
    </row>
    <row r="36" spans="3:6" x14ac:dyDescent="0.3">
      <c r="C36" s="5" t="s">
        <v>32</v>
      </c>
      <c r="D36" s="4">
        <f>COUNTIF(M$5:M$20,"Bajo")</f>
        <v>10</v>
      </c>
      <c r="E36" s="4">
        <f>COUNTIF(M$5:M$20,"Medio")</f>
        <v>6</v>
      </c>
      <c r="F36" s="4">
        <f>COUNTIF(M$5:M$20,"Alto")</f>
        <v>0</v>
      </c>
    </row>
    <row r="37" spans="3:6" x14ac:dyDescent="0.3">
      <c r="C37" s="5" t="s">
        <v>4</v>
      </c>
      <c r="D37" s="4">
        <f>COUNTIF(P$5:P$29,"Bajo")</f>
        <v>0</v>
      </c>
      <c r="E37" s="4">
        <f>COUNTIF(P$5:P$29,"Medio")</f>
        <v>0</v>
      </c>
      <c r="F37" s="4">
        <f>COUNTIF(P$5:P$29,"Alto")</f>
        <v>0</v>
      </c>
    </row>
  </sheetData>
  <mergeCells count="6">
    <mergeCell ref="O3:P3"/>
    <mergeCell ref="C31:F31"/>
    <mergeCell ref="C3:D3"/>
    <mergeCell ref="F3:G3"/>
    <mergeCell ref="I3:J3"/>
    <mergeCell ref="L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showGridLines="0" topLeftCell="A3" zoomScale="83" workbookViewId="0">
      <selection sqref="A1:K1"/>
    </sheetView>
  </sheetViews>
  <sheetFormatPr baseColWidth="10" defaultColWidth="9.109375" defaultRowHeight="14.4" x14ac:dyDescent="0.3"/>
  <cols>
    <col min="1" max="1" width="13" customWidth="1"/>
    <col min="9" max="9" width="13.5546875" customWidth="1"/>
    <col min="11" max="11" width="15.6640625" customWidth="1"/>
    <col min="12" max="12" width="13.88671875" customWidth="1"/>
    <col min="13" max="13" width="62" customWidth="1"/>
  </cols>
  <sheetData>
    <row r="1" spans="1:12" ht="14.4" customHeight="1" x14ac:dyDescent="0.3">
      <c r="A1" s="103" t="s">
        <v>33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5" t="s">
        <v>34</v>
      </c>
    </row>
    <row r="2" spans="1:12" ht="39.6" customHeight="1" x14ac:dyDescent="0.3">
      <c r="A2" s="102" t="s">
        <v>35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4">
        <v>3</v>
      </c>
    </row>
    <row r="3" spans="1:12" ht="26.4" customHeight="1" x14ac:dyDescent="0.3">
      <c r="A3" s="102" t="s">
        <v>36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4">
        <v>5</v>
      </c>
    </row>
    <row r="4" spans="1:12" ht="39.6" customHeight="1" x14ac:dyDescent="0.3">
      <c r="A4" s="102" t="s">
        <v>37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4">
        <v>4</v>
      </c>
    </row>
    <row r="5" spans="1:12" ht="39.6" customHeight="1" x14ac:dyDescent="0.3">
      <c r="A5" s="102" t="s">
        <v>38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4">
        <v>5</v>
      </c>
    </row>
    <row r="6" spans="1:12" ht="39.6" customHeight="1" x14ac:dyDescent="0.3">
      <c r="A6" s="102" t="s">
        <v>39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4">
        <v>3</v>
      </c>
    </row>
    <row r="7" spans="1:12" ht="26.4" customHeight="1" x14ac:dyDescent="0.3">
      <c r="A7" s="102" t="s">
        <v>40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4">
        <v>5</v>
      </c>
    </row>
    <row r="8" spans="1:12" ht="39.6" customHeight="1" x14ac:dyDescent="0.3">
      <c r="A8" s="102" t="s">
        <v>41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4">
        <v>2</v>
      </c>
    </row>
    <row r="9" spans="1:12" ht="26.4" customHeight="1" x14ac:dyDescent="0.3">
      <c r="A9" s="102" t="s">
        <v>42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4">
        <v>4</v>
      </c>
    </row>
    <row r="10" spans="1:12" ht="26.4" customHeight="1" x14ac:dyDescent="0.3">
      <c r="A10" s="102" t="s">
        <v>43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4">
        <v>4</v>
      </c>
    </row>
    <row r="11" spans="1:12" ht="39.6" customHeight="1" x14ac:dyDescent="0.3">
      <c r="A11" s="102" t="s">
        <v>44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4">
        <v>4</v>
      </c>
    </row>
    <row r="12" spans="1:12" ht="26.4" customHeight="1" x14ac:dyDescent="0.3">
      <c r="A12" s="102" t="s">
        <v>45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4">
        <v>2</v>
      </c>
    </row>
    <row r="13" spans="1:12" ht="26.4" customHeight="1" x14ac:dyDescent="0.3">
      <c r="A13" s="102" t="s">
        <v>46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4">
        <v>2</v>
      </c>
    </row>
    <row r="14" spans="1:12" ht="39.6" customHeight="1" x14ac:dyDescent="0.3">
      <c r="A14" s="102" t="s">
        <v>47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4">
        <v>0</v>
      </c>
    </row>
    <row r="15" spans="1:12" ht="39.6" customHeight="1" x14ac:dyDescent="0.3">
      <c r="A15" s="102" t="s">
        <v>48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4">
        <v>4</v>
      </c>
    </row>
    <row r="16" spans="1:12" ht="26.4" customHeight="1" x14ac:dyDescent="0.3">
      <c r="A16" s="3"/>
      <c r="B16" s="3"/>
      <c r="C16" s="3"/>
      <c r="D16" s="3"/>
      <c r="E16" s="3"/>
      <c r="F16" s="3"/>
      <c r="G16" s="3"/>
      <c r="K16" s="8" t="s">
        <v>49</v>
      </c>
      <c r="L16" s="8">
        <f>SUM(L2:L15)</f>
        <v>47</v>
      </c>
    </row>
    <row r="17" ht="15" customHeight="1" x14ac:dyDescent="0.3"/>
  </sheetData>
  <mergeCells count="15">
    <mergeCell ref="A15:K15"/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</mergeCells>
  <dataValidations count="1">
    <dataValidation type="list" sqref="L2:L15" xr:uid="{00000000-0002-0000-0100-000000000000}">
      <formula1>"0,1,2,3,4,5"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5"/>
  <sheetViews>
    <sheetView showGridLines="0" topLeftCell="C1" zoomScale="82" workbookViewId="0">
      <selection activeCell="I32" sqref="I32"/>
    </sheetView>
  </sheetViews>
  <sheetFormatPr baseColWidth="10" defaultColWidth="8.88671875" defaultRowHeight="14.4" x14ac:dyDescent="0.3"/>
  <cols>
    <col min="2" max="3" width="13.33203125" customWidth="1"/>
    <col min="5" max="5" width="11.6640625" customWidth="1"/>
    <col min="9" max="9" width="15.44140625" customWidth="1"/>
    <col min="11" max="11" width="10.6640625" customWidth="1"/>
    <col min="12" max="12" width="9.44140625" customWidth="1"/>
    <col min="14" max="14" width="10.44140625" customWidth="1"/>
  </cols>
  <sheetData>
    <row r="2" spans="2:12" x14ac:dyDescent="0.3">
      <c r="B2" s="104" t="s">
        <v>50</v>
      </c>
      <c r="C2" s="105"/>
      <c r="D2" s="105"/>
      <c r="E2" s="106"/>
      <c r="I2" s="103" t="s">
        <v>51</v>
      </c>
      <c r="J2" s="103" t="s">
        <v>52</v>
      </c>
      <c r="K2" s="103"/>
      <c r="L2" s="103"/>
    </row>
    <row r="3" spans="2:12" x14ac:dyDescent="0.3">
      <c r="B3" s="6"/>
      <c r="C3" s="7" t="s">
        <v>8</v>
      </c>
      <c r="D3" s="7" t="s">
        <v>53</v>
      </c>
      <c r="E3" s="10" t="s">
        <v>12</v>
      </c>
      <c r="F3" s="11" t="s">
        <v>49</v>
      </c>
      <c r="I3" s="103"/>
      <c r="J3" s="12" t="s">
        <v>8</v>
      </c>
      <c r="K3" s="12" t="s">
        <v>53</v>
      </c>
      <c r="L3" s="12" t="s">
        <v>12</v>
      </c>
    </row>
    <row r="4" spans="2:12" x14ac:dyDescent="0.3">
      <c r="B4" s="7" t="s">
        <v>0</v>
      </c>
      <c r="C4" s="1">
        <f>'1. Caracteristicas de dominio'!D33</f>
        <v>5</v>
      </c>
      <c r="D4" s="1">
        <f>'1. Caracteristicas de dominio'!E33</f>
        <v>8</v>
      </c>
      <c r="E4" s="1">
        <f>'1. Caracteristicas de dominio'!F33</f>
        <v>11</v>
      </c>
      <c r="F4" s="9">
        <f>(C4*J4)+(D4*K4)+(E4*L4)</f>
        <v>113</v>
      </c>
      <c r="I4" s="12" t="s">
        <v>0</v>
      </c>
      <c r="J4" s="2">
        <v>3</v>
      </c>
      <c r="K4" s="2">
        <v>4</v>
      </c>
      <c r="L4" s="2">
        <v>6</v>
      </c>
    </row>
    <row r="5" spans="2:12" x14ac:dyDescent="0.3">
      <c r="B5" s="7" t="s">
        <v>1</v>
      </c>
      <c r="C5" s="1">
        <f>'1. Caracteristicas de dominio'!D34</f>
        <v>0</v>
      </c>
      <c r="D5" s="1">
        <f>'1. Caracteristicas de dominio'!E34</f>
        <v>1</v>
      </c>
      <c r="E5" s="1">
        <f>'1. Caracteristicas de dominio'!F34</f>
        <v>2</v>
      </c>
      <c r="F5" s="9">
        <f>(C5*J5)+(D5*K5)+(E5*L5)</f>
        <v>19</v>
      </c>
      <c r="I5" s="12" t="s">
        <v>1</v>
      </c>
      <c r="J5" s="2">
        <v>4</v>
      </c>
      <c r="K5" s="2">
        <v>5</v>
      </c>
      <c r="L5" s="2">
        <v>7</v>
      </c>
    </row>
    <row r="6" spans="2:12" x14ac:dyDescent="0.3">
      <c r="B6" s="7" t="s">
        <v>54</v>
      </c>
      <c r="C6" s="1">
        <f>'1. Caracteristicas de dominio'!D36</f>
        <v>10</v>
      </c>
      <c r="D6" s="1">
        <f>'1. Caracteristicas de dominio'!E36</f>
        <v>6</v>
      </c>
      <c r="E6" s="1">
        <f>'1. Caracteristicas de dominio'!F36</f>
        <v>0</v>
      </c>
      <c r="F6" s="9">
        <f>(C6*J6)+(D6*K6)+(E6*L6)</f>
        <v>130</v>
      </c>
      <c r="I6" s="12" t="s">
        <v>54</v>
      </c>
      <c r="J6" s="2">
        <v>7</v>
      </c>
      <c r="K6" s="2">
        <v>10</v>
      </c>
      <c r="L6" s="2">
        <v>15</v>
      </c>
    </row>
    <row r="7" spans="2:12" x14ac:dyDescent="0.3">
      <c r="B7" s="7" t="s">
        <v>55</v>
      </c>
      <c r="C7" s="1">
        <f>'1. Caracteristicas de dominio'!D37</f>
        <v>0</v>
      </c>
      <c r="D7" s="1">
        <f>'1. Caracteristicas de dominio'!E37</f>
        <v>0</v>
      </c>
      <c r="E7" s="1">
        <f>'1. Caracteristicas de dominio'!F37</f>
        <v>0</v>
      </c>
      <c r="F7" s="9">
        <f>(C7*J7)+(D7*K7)+(E7*L7)</f>
        <v>0</v>
      </c>
      <c r="I7" s="12" t="s">
        <v>55</v>
      </c>
      <c r="J7" s="2">
        <v>5</v>
      </c>
      <c r="K7" s="2">
        <v>7</v>
      </c>
      <c r="L7" s="2">
        <v>10</v>
      </c>
    </row>
    <row r="8" spans="2:12" x14ac:dyDescent="0.3">
      <c r="B8" s="7" t="s">
        <v>2</v>
      </c>
      <c r="C8" s="1">
        <f>'1. Caracteristicas de dominio'!D35</f>
        <v>4</v>
      </c>
      <c r="D8" s="1">
        <f>'1. Caracteristicas de dominio'!E35</f>
        <v>5</v>
      </c>
      <c r="E8" s="1">
        <f>'1. Caracteristicas de dominio'!F35</f>
        <v>3</v>
      </c>
      <c r="F8" s="9">
        <f>(C8*J8)+(D8*K8)+(E8*L8)</f>
        <v>50</v>
      </c>
      <c r="I8" s="12" t="s">
        <v>2</v>
      </c>
      <c r="J8" s="2">
        <v>3</v>
      </c>
      <c r="K8" s="2">
        <v>4</v>
      </c>
      <c r="L8" s="2">
        <v>6</v>
      </c>
    </row>
    <row r="9" spans="2:12" x14ac:dyDescent="0.3">
      <c r="F9" s="1">
        <f>SUM(F4:F8)</f>
        <v>312</v>
      </c>
    </row>
    <row r="10" spans="2:12" x14ac:dyDescent="0.3">
      <c r="J10" s="77" t="s">
        <v>56</v>
      </c>
      <c r="K10" s="77" t="s">
        <v>57</v>
      </c>
    </row>
    <row r="11" spans="2:12" x14ac:dyDescent="0.3">
      <c r="B11" s="13" t="s">
        <v>58</v>
      </c>
      <c r="C11" s="1">
        <f>F9</f>
        <v>312</v>
      </c>
      <c r="J11" s="77" t="s">
        <v>59</v>
      </c>
      <c r="K11" s="78">
        <v>54</v>
      </c>
    </row>
    <row r="12" spans="2:12" x14ac:dyDescent="0.3">
      <c r="B12" s="13" t="s">
        <v>60</v>
      </c>
      <c r="C12" s="1">
        <f>C11*(0.65+0.01*E14)</f>
        <v>349.44000000000005</v>
      </c>
      <c r="J12" s="77" t="s">
        <v>61</v>
      </c>
      <c r="K12" s="78">
        <v>47</v>
      </c>
    </row>
    <row r="13" spans="2:12" x14ac:dyDescent="0.3">
      <c r="B13" s="13" t="s">
        <v>62</v>
      </c>
      <c r="C13" s="80">
        <f>K13</f>
        <v>50.5</v>
      </c>
      <c r="E13" s="13" t="s">
        <v>33</v>
      </c>
      <c r="J13" s="78" t="s">
        <v>53</v>
      </c>
      <c r="K13" s="79">
        <f>AVERAGE(K11:K12)</f>
        <v>50.5</v>
      </c>
    </row>
    <row r="14" spans="2:12" x14ac:dyDescent="0.3">
      <c r="B14" s="13" t="s">
        <v>63</v>
      </c>
      <c r="C14" s="1">
        <f>C12*C13</f>
        <v>17646.72</v>
      </c>
      <c r="E14" s="13">
        <f>'2. Preguntas'!L16</f>
        <v>47</v>
      </c>
    </row>
    <row r="15" spans="2:12" x14ac:dyDescent="0.3">
      <c r="B15" s="13" t="s">
        <v>64</v>
      </c>
      <c r="C15" s="1">
        <f>C14/1000</f>
        <v>17.646720000000002</v>
      </c>
    </row>
  </sheetData>
  <mergeCells count="3">
    <mergeCell ref="B2:E2"/>
    <mergeCell ref="I2:I3"/>
    <mergeCell ref="J2:L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40"/>
  <sheetViews>
    <sheetView showGridLines="0" topLeftCell="A43" zoomScale="66" workbookViewId="0">
      <selection activeCell="H69" sqref="H69"/>
    </sheetView>
  </sheetViews>
  <sheetFormatPr baseColWidth="10" defaultColWidth="8.88671875" defaultRowHeight="14.4" x14ac:dyDescent="0.3"/>
  <cols>
    <col min="2" max="2" width="4.109375" customWidth="1"/>
    <col min="3" max="3" width="25.109375" customWidth="1"/>
    <col min="4" max="4" width="17" customWidth="1"/>
    <col min="5" max="5" width="14.6640625" customWidth="1"/>
    <col min="6" max="6" width="22.88671875" customWidth="1"/>
    <col min="7" max="7" width="25" customWidth="1"/>
    <col min="8" max="8" width="15.5546875" customWidth="1"/>
    <col min="9" max="9" width="12.88671875" customWidth="1"/>
    <col min="10" max="10" width="17.88671875" customWidth="1"/>
    <col min="11" max="11" width="13.33203125" customWidth="1"/>
    <col min="12" max="12" width="15.33203125" customWidth="1"/>
  </cols>
  <sheetData>
    <row r="1" spans="2:12" x14ac:dyDescent="0.3">
      <c r="B1" s="54"/>
      <c r="C1" s="55" t="s">
        <v>65</v>
      </c>
    </row>
    <row r="2" spans="2:12" x14ac:dyDescent="0.3">
      <c r="B2" s="56" t="s">
        <v>66</v>
      </c>
      <c r="C2" s="57">
        <v>8192</v>
      </c>
    </row>
    <row r="6" spans="2:12" ht="15" customHeight="1" x14ac:dyDescent="0.3">
      <c r="B6" s="107" t="s">
        <v>417</v>
      </c>
      <c r="C6" s="107" t="s">
        <v>195</v>
      </c>
      <c r="D6" s="107" t="s">
        <v>195</v>
      </c>
      <c r="F6" s="107" t="s">
        <v>489</v>
      </c>
      <c r="G6" s="107" t="s">
        <v>196</v>
      </c>
      <c r="H6" s="107" t="s">
        <v>196</v>
      </c>
      <c r="J6" s="107" t="s">
        <v>419</v>
      </c>
      <c r="K6" s="107" t="s">
        <v>197</v>
      </c>
      <c r="L6" s="107" t="s">
        <v>197</v>
      </c>
    </row>
    <row r="7" spans="2:12" ht="15" customHeight="1" x14ac:dyDescent="0.3">
      <c r="B7" s="81" t="s">
        <v>198</v>
      </c>
      <c r="C7" s="81" t="s">
        <v>199</v>
      </c>
      <c r="D7" s="81" t="s">
        <v>200</v>
      </c>
      <c r="F7" s="81" t="s">
        <v>198</v>
      </c>
      <c r="G7" s="81" t="s">
        <v>199</v>
      </c>
      <c r="H7" s="81" t="s">
        <v>200</v>
      </c>
      <c r="J7" s="81" t="s">
        <v>198</v>
      </c>
      <c r="K7" s="81" t="s">
        <v>199</v>
      </c>
      <c r="L7" s="81" t="s">
        <v>200</v>
      </c>
    </row>
    <row r="8" spans="2:12" ht="15" customHeight="1" x14ac:dyDescent="0.3">
      <c r="B8" s="82" t="s">
        <v>201</v>
      </c>
      <c r="C8" s="82" t="s">
        <v>202</v>
      </c>
      <c r="D8" s="83">
        <v>4</v>
      </c>
      <c r="F8" s="82" t="s">
        <v>203</v>
      </c>
      <c r="G8" s="82" t="s">
        <v>202</v>
      </c>
      <c r="H8" s="83">
        <v>4</v>
      </c>
      <c r="J8" s="82" t="s">
        <v>204</v>
      </c>
      <c r="K8" s="82" t="s">
        <v>202</v>
      </c>
      <c r="L8" s="83">
        <v>4</v>
      </c>
    </row>
    <row r="9" spans="2:12" ht="15" customHeight="1" x14ac:dyDescent="0.3">
      <c r="B9" s="82" t="s">
        <v>205</v>
      </c>
      <c r="C9" s="82" t="s">
        <v>206</v>
      </c>
      <c r="D9" s="83">
        <v>60</v>
      </c>
      <c r="F9" s="82" t="s">
        <v>205</v>
      </c>
      <c r="G9" s="82" t="s">
        <v>206</v>
      </c>
      <c r="H9" s="83">
        <v>60</v>
      </c>
      <c r="J9" s="82" t="s">
        <v>205</v>
      </c>
      <c r="K9" s="82" t="s">
        <v>207</v>
      </c>
      <c r="L9" s="83">
        <v>50</v>
      </c>
    </row>
    <row r="10" spans="2:12" ht="15" customHeight="1" x14ac:dyDescent="0.3">
      <c r="B10" s="82" t="s">
        <v>208</v>
      </c>
      <c r="C10" s="82" t="s">
        <v>209</v>
      </c>
      <c r="D10" s="83">
        <v>200</v>
      </c>
      <c r="F10" s="82" t="s">
        <v>208</v>
      </c>
      <c r="G10" s="82" t="s">
        <v>209</v>
      </c>
      <c r="H10" s="83">
        <v>200</v>
      </c>
      <c r="J10" s="82" t="s">
        <v>208</v>
      </c>
      <c r="K10" s="82" t="s">
        <v>209</v>
      </c>
      <c r="L10" s="83">
        <v>200</v>
      </c>
    </row>
    <row r="11" spans="2:12" ht="15" customHeight="1" x14ac:dyDescent="0.3">
      <c r="B11" s="82" t="s">
        <v>210</v>
      </c>
      <c r="C11" s="82" t="s">
        <v>211</v>
      </c>
      <c r="D11" s="83">
        <v>1</v>
      </c>
      <c r="F11" s="82" t="s">
        <v>210</v>
      </c>
      <c r="G11" s="82" t="s">
        <v>211</v>
      </c>
      <c r="H11" s="83">
        <v>1</v>
      </c>
      <c r="J11" s="82" t="s">
        <v>210</v>
      </c>
      <c r="K11" s="82" t="s">
        <v>211</v>
      </c>
      <c r="L11" s="83">
        <v>1</v>
      </c>
    </row>
    <row r="12" spans="2:12" ht="15" customHeight="1" x14ac:dyDescent="0.3">
      <c r="C12" s="81" t="s">
        <v>49</v>
      </c>
      <c r="D12" s="84">
        <f>SUM(D8:D11)</f>
        <v>265</v>
      </c>
      <c r="G12" s="81" t="s">
        <v>49</v>
      </c>
      <c r="H12" s="84">
        <f>SUM(H8:H11)</f>
        <v>265</v>
      </c>
      <c r="K12" s="81" t="s">
        <v>49</v>
      </c>
      <c r="L12" s="84">
        <f>SUM(L8:L11)</f>
        <v>255</v>
      </c>
    </row>
    <row r="13" spans="2:12" ht="15" customHeight="1" x14ac:dyDescent="0.3"/>
    <row r="14" spans="2:12" ht="15" customHeight="1" x14ac:dyDescent="0.3">
      <c r="B14" s="107" t="s">
        <v>418</v>
      </c>
      <c r="C14" s="107" t="s">
        <v>212</v>
      </c>
      <c r="D14" s="107" t="s">
        <v>212</v>
      </c>
      <c r="F14" s="107" t="s">
        <v>420</v>
      </c>
      <c r="G14" s="107" t="s">
        <v>213</v>
      </c>
      <c r="H14" s="107" t="s">
        <v>213</v>
      </c>
      <c r="J14" s="107" t="s">
        <v>421</v>
      </c>
      <c r="K14" s="107" t="s">
        <v>214</v>
      </c>
      <c r="L14" s="107" t="s">
        <v>214</v>
      </c>
    </row>
    <row r="15" spans="2:12" ht="15" customHeight="1" x14ac:dyDescent="0.3">
      <c r="B15" s="81" t="s">
        <v>198</v>
      </c>
      <c r="C15" s="81" t="s">
        <v>199</v>
      </c>
      <c r="D15" s="81" t="s">
        <v>200</v>
      </c>
      <c r="F15" s="81" t="s">
        <v>198</v>
      </c>
      <c r="G15" s="81" t="s">
        <v>199</v>
      </c>
      <c r="H15" s="81" t="s">
        <v>200</v>
      </c>
      <c r="J15" s="81" t="s">
        <v>198</v>
      </c>
      <c r="K15" s="81" t="s">
        <v>199</v>
      </c>
      <c r="L15" s="81" t="s">
        <v>200</v>
      </c>
    </row>
    <row r="16" spans="2:12" ht="15" customHeight="1" x14ac:dyDescent="0.3">
      <c r="B16" s="82" t="s">
        <v>215</v>
      </c>
      <c r="C16" s="82" t="s">
        <v>202</v>
      </c>
      <c r="D16" s="83">
        <v>4</v>
      </c>
      <c r="F16" s="82" t="s">
        <v>216</v>
      </c>
      <c r="G16" s="82" t="s">
        <v>202</v>
      </c>
      <c r="H16" s="83">
        <v>4</v>
      </c>
      <c r="J16" s="82" t="s">
        <v>217</v>
      </c>
      <c r="K16" s="82" t="s">
        <v>202</v>
      </c>
      <c r="L16" s="83">
        <v>4</v>
      </c>
    </row>
    <row r="17" spans="2:12" ht="15" customHeight="1" x14ac:dyDescent="0.3">
      <c r="B17" s="82" t="s">
        <v>218</v>
      </c>
      <c r="C17" s="82" t="s">
        <v>206</v>
      </c>
      <c r="D17" s="83">
        <v>60</v>
      </c>
      <c r="F17" s="82" t="s">
        <v>201</v>
      </c>
      <c r="G17" s="82" t="s">
        <v>219</v>
      </c>
      <c r="H17" s="83">
        <v>4</v>
      </c>
      <c r="J17" s="82" t="s">
        <v>216</v>
      </c>
      <c r="K17" s="82" t="s">
        <v>219</v>
      </c>
      <c r="L17" s="83">
        <v>4</v>
      </c>
    </row>
    <row r="18" spans="2:12" ht="15" customHeight="1" x14ac:dyDescent="0.3">
      <c r="B18" s="82" t="s">
        <v>205</v>
      </c>
      <c r="C18" s="82" t="s">
        <v>220</v>
      </c>
      <c r="D18" s="83">
        <v>80</v>
      </c>
      <c r="F18" s="82" t="s">
        <v>221</v>
      </c>
      <c r="G18" s="82" t="s">
        <v>222</v>
      </c>
      <c r="H18" s="83">
        <v>20</v>
      </c>
      <c r="J18" s="82" t="s">
        <v>223</v>
      </c>
      <c r="K18" s="82" t="s">
        <v>206</v>
      </c>
      <c r="L18" s="83">
        <v>60</v>
      </c>
    </row>
    <row r="19" spans="2:12" ht="15" customHeight="1" x14ac:dyDescent="0.3">
      <c r="B19" s="82" t="s">
        <v>208</v>
      </c>
      <c r="C19" s="82" t="s">
        <v>209</v>
      </c>
      <c r="D19" s="83">
        <v>200</v>
      </c>
      <c r="F19" s="82" t="s">
        <v>224</v>
      </c>
      <c r="G19" s="82" t="s">
        <v>207</v>
      </c>
      <c r="H19" s="83">
        <v>50</v>
      </c>
      <c r="J19" s="82" t="s">
        <v>225</v>
      </c>
      <c r="K19" s="82" t="s">
        <v>226</v>
      </c>
      <c r="L19" s="83">
        <v>255</v>
      </c>
    </row>
    <row r="20" spans="2:12" ht="15" customHeight="1" x14ac:dyDescent="0.3">
      <c r="B20" s="82" t="s">
        <v>210</v>
      </c>
      <c r="C20" s="82" t="s">
        <v>211</v>
      </c>
      <c r="D20" s="83">
        <v>1</v>
      </c>
      <c r="F20" s="82" t="s">
        <v>227</v>
      </c>
      <c r="G20" s="82" t="s">
        <v>207</v>
      </c>
      <c r="H20" s="83">
        <v>50</v>
      </c>
      <c r="J20" s="82" t="s">
        <v>228</v>
      </c>
      <c r="K20" s="82" t="s">
        <v>229</v>
      </c>
      <c r="L20" s="83">
        <v>15</v>
      </c>
    </row>
    <row r="21" spans="2:12" ht="15" customHeight="1" x14ac:dyDescent="0.3">
      <c r="C21" s="81" t="s">
        <v>49</v>
      </c>
      <c r="D21" s="84">
        <f>SUM(D16:D20)</f>
        <v>345</v>
      </c>
      <c r="F21" s="82" t="s">
        <v>230</v>
      </c>
      <c r="G21" s="82" t="s">
        <v>207</v>
      </c>
      <c r="H21" s="83">
        <v>50</v>
      </c>
      <c r="J21" s="82" t="s">
        <v>231</v>
      </c>
      <c r="K21" s="82" t="s">
        <v>232</v>
      </c>
      <c r="L21" s="83">
        <v>8</v>
      </c>
    </row>
    <row r="22" spans="2:12" ht="15" customHeight="1" x14ac:dyDescent="0.3">
      <c r="F22" s="82" t="s">
        <v>233</v>
      </c>
      <c r="G22" s="82" t="s">
        <v>207</v>
      </c>
      <c r="H22" s="83">
        <v>50</v>
      </c>
      <c r="J22" s="82" t="s">
        <v>234</v>
      </c>
      <c r="K22" s="82" t="s">
        <v>232</v>
      </c>
      <c r="L22" s="83">
        <v>8</v>
      </c>
    </row>
    <row r="23" spans="2:12" ht="15" customHeight="1" x14ac:dyDescent="0.3">
      <c r="F23" s="82" t="s">
        <v>235</v>
      </c>
      <c r="G23" s="82" t="s">
        <v>222</v>
      </c>
      <c r="H23" s="83">
        <v>20</v>
      </c>
      <c r="K23" s="81" t="s">
        <v>49</v>
      </c>
      <c r="L23" s="84">
        <f>SUM(L16:L22)</f>
        <v>354</v>
      </c>
    </row>
    <row r="24" spans="2:12" ht="15" customHeight="1" x14ac:dyDescent="0.3">
      <c r="F24" s="82" t="s">
        <v>236</v>
      </c>
      <c r="G24" s="82" t="s">
        <v>237</v>
      </c>
      <c r="H24" s="83">
        <v>100</v>
      </c>
    </row>
    <row r="25" spans="2:12" ht="15" customHeight="1" x14ac:dyDescent="0.3">
      <c r="F25" s="82" t="s">
        <v>238</v>
      </c>
      <c r="G25" s="82" t="s">
        <v>209</v>
      </c>
      <c r="H25" s="83">
        <v>200</v>
      </c>
    </row>
    <row r="26" spans="2:12" ht="15" customHeight="1" x14ac:dyDescent="0.3">
      <c r="F26" s="82" t="s">
        <v>239</v>
      </c>
      <c r="G26" s="82" t="s">
        <v>240</v>
      </c>
      <c r="H26" s="83">
        <v>4</v>
      </c>
    </row>
    <row r="27" spans="2:12" ht="15" customHeight="1" x14ac:dyDescent="0.3">
      <c r="F27" s="82" t="s">
        <v>228</v>
      </c>
      <c r="G27" s="82" t="s">
        <v>229</v>
      </c>
      <c r="H27" s="83">
        <v>15</v>
      </c>
    </row>
    <row r="28" spans="2:12" ht="15" customHeight="1" x14ac:dyDescent="0.3">
      <c r="G28" s="81" t="s">
        <v>49</v>
      </c>
      <c r="H28" s="84">
        <f>SUM(H16:H27)</f>
        <v>567</v>
      </c>
    </row>
    <row r="29" spans="2:12" ht="15" customHeight="1" x14ac:dyDescent="0.3"/>
    <row r="30" spans="2:12" ht="15" customHeight="1" x14ac:dyDescent="0.3">
      <c r="B30" s="107" t="s">
        <v>422</v>
      </c>
      <c r="C30" s="107" t="s">
        <v>241</v>
      </c>
      <c r="D30" s="107" t="s">
        <v>241</v>
      </c>
      <c r="F30" s="107" t="s">
        <v>423</v>
      </c>
      <c r="G30" s="107" t="s">
        <v>242</v>
      </c>
      <c r="H30" s="107" t="s">
        <v>242</v>
      </c>
      <c r="J30" s="107" t="s">
        <v>424</v>
      </c>
      <c r="K30" s="107" t="s">
        <v>243</v>
      </c>
      <c r="L30" s="107" t="s">
        <v>243</v>
      </c>
    </row>
    <row r="31" spans="2:12" ht="15" customHeight="1" x14ac:dyDescent="0.3">
      <c r="B31" s="81" t="s">
        <v>198</v>
      </c>
      <c r="C31" s="81" t="s">
        <v>199</v>
      </c>
      <c r="D31" s="81" t="s">
        <v>200</v>
      </c>
      <c r="F31" s="81" t="s">
        <v>198</v>
      </c>
      <c r="G31" s="81" t="s">
        <v>199</v>
      </c>
      <c r="H31" s="81" t="s">
        <v>200</v>
      </c>
      <c r="J31" s="81" t="s">
        <v>198</v>
      </c>
      <c r="K31" s="81" t="s">
        <v>199</v>
      </c>
      <c r="L31" s="81" t="s">
        <v>200</v>
      </c>
    </row>
    <row r="32" spans="2:12" ht="15" customHeight="1" x14ac:dyDescent="0.3">
      <c r="B32" s="82" t="s">
        <v>244</v>
      </c>
      <c r="C32" s="82" t="s">
        <v>202</v>
      </c>
      <c r="D32" s="83">
        <v>4</v>
      </c>
      <c r="F32" s="82" t="s">
        <v>204</v>
      </c>
      <c r="G32" s="82" t="s">
        <v>219</v>
      </c>
      <c r="H32" s="83">
        <v>4</v>
      </c>
      <c r="J32" s="82" t="s">
        <v>245</v>
      </c>
      <c r="K32" s="82" t="s">
        <v>246</v>
      </c>
      <c r="L32" s="83">
        <v>8</v>
      </c>
    </row>
    <row r="33" spans="2:12" ht="15" customHeight="1" x14ac:dyDescent="0.3">
      <c r="B33" s="82" t="s">
        <v>217</v>
      </c>
      <c r="C33" s="82" t="s">
        <v>219</v>
      </c>
      <c r="D33" s="83">
        <v>4</v>
      </c>
      <c r="F33" s="82" t="s">
        <v>215</v>
      </c>
      <c r="G33" s="82" t="s">
        <v>219</v>
      </c>
      <c r="H33" s="83">
        <v>4</v>
      </c>
      <c r="J33" s="82" t="s">
        <v>217</v>
      </c>
      <c r="K33" s="82" t="s">
        <v>219</v>
      </c>
      <c r="L33" s="83">
        <v>4</v>
      </c>
    </row>
    <row r="34" spans="2:12" ht="15" customHeight="1" x14ac:dyDescent="0.3">
      <c r="B34" s="82" t="s">
        <v>204</v>
      </c>
      <c r="C34" s="82" t="s">
        <v>219</v>
      </c>
      <c r="D34" s="83">
        <v>4</v>
      </c>
      <c r="G34" s="81" t="s">
        <v>49</v>
      </c>
      <c r="H34" s="84">
        <f>SUM(H32:H33)</f>
        <v>8</v>
      </c>
      <c r="J34" s="82" t="s">
        <v>247</v>
      </c>
      <c r="K34" s="82" t="s">
        <v>206</v>
      </c>
      <c r="L34" s="83">
        <v>60</v>
      </c>
    </row>
    <row r="35" spans="2:12" ht="15" customHeight="1" x14ac:dyDescent="0.3">
      <c r="B35" s="82" t="s">
        <v>248</v>
      </c>
      <c r="C35" s="82" t="s">
        <v>240</v>
      </c>
      <c r="D35" s="83">
        <v>4</v>
      </c>
      <c r="J35" s="82" t="s">
        <v>249</v>
      </c>
      <c r="K35" s="82" t="s">
        <v>207</v>
      </c>
      <c r="L35" s="83">
        <v>50</v>
      </c>
    </row>
    <row r="36" spans="2:12" ht="15" customHeight="1" x14ac:dyDescent="0.3">
      <c r="B36" s="82" t="s">
        <v>250</v>
      </c>
      <c r="C36" s="82" t="s">
        <v>240</v>
      </c>
      <c r="D36" s="83">
        <v>4</v>
      </c>
      <c r="J36" s="82" t="s">
        <v>251</v>
      </c>
      <c r="K36" s="82" t="s">
        <v>222</v>
      </c>
      <c r="L36" s="83">
        <v>20</v>
      </c>
    </row>
    <row r="37" spans="2:12" ht="15" customHeight="1" x14ac:dyDescent="0.3">
      <c r="C37" s="81" t="s">
        <v>49</v>
      </c>
      <c r="D37" s="84">
        <f>SUM(D32:D36)</f>
        <v>20</v>
      </c>
      <c r="J37" s="82" t="s">
        <v>252</v>
      </c>
      <c r="K37" s="82" t="s">
        <v>206</v>
      </c>
      <c r="L37" s="83">
        <v>60</v>
      </c>
    </row>
    <row r="38" spans="2:12" ht="15" customHeight="1" x14ac:dyDescent="0.3">
      <c r="J38" s="82" t="s">
        <v>253</v>
      </c>
      <c r="K38" s="82" t="s">
        <v>254</v>
      </c>
      <c r="L38" s="83">
        <v>1000</v>
      </c>
    </row>
    <row r="39" spans="2:12" ht="15" customHeight="1" x14ac:dyDescent="0.3">
      <c r="J39" s="82" t="s">
        <v>255</v>
      </c>
      <c r="K39" s="82" t="s">
        <v>254</v>
      </c>
      <c r="L39" s="83">
        <v>1000</v>
      </c>
    </row>
    <row r="40" spans="2:12" ht="15" customHeight="1" x14ac:dyDescent="0.3">
      <c r="J40" s="82" t="s">
        <v>256</v>
      </c>
      <c r="K40" s="82" t="s">
        <v>232</v>
      </c>
      <c r="L40" s="83">
        <v>8</v>
      </c>
    </row>
    <row r="41" spans="2:12" ht="15" customHeight="1" x14ac:dyDescent="0.3">
      <c r="J41" s="82" t="s">
        <v>257</v>
      </c>
      <c r="K41" s="82" t="s">
        <v>258</v>
      </c>
      <c r="L41" s="83">
        <v>19</v>
      </c>
    </row>
    <row r="42" spans="2:12" ht="15" customHeight="1" x14ac:dyDescent="0.3">
      <c r="J42" s="82" t="s">
        <v>259</v>
      </c>
      <c r="K42" s="82" t="s">
        <v>260</v>
      </c>
      <c r="L42" s="83">
        <v>16</v>
      </c>
    </row>
    <row r="43" spans="2:12" ht="15" customHeight="1" x14ac:dyDescent="0.3">
      <c r="K43" s="81" t="s">
        <v>49</v>
      </c>
      <c r="L43" s="84">
        <f>SUM(L32:L42)</f>
        <v>2245</v>
      </c>
    </row>
    <row r="44" spans="2:12" ht="15" customHeight="1" x14ac:dyDescent="0.3"/>
    <row r="45" spans="2:12" ht="15" customHeight="1" x14ac:dyDescent="0.3">
      <c r="B45" s="107" t="s">
        <v>425</v>
      </c>
      <c r="C45" s="107" t="s">
        <v>261</v>
      </c>
      <c r="D45" s="107" t="s">
        <v>261</v>
      </c>
      <c r="F45" s="107" t="s">
        <v>426</v>
      </c>
      <c r="G45" s="107" t="s">
        <v>262</v>
      </c>
      <c r="H45" s="107" t="s">
        <v>262</v>
      </c>
      <c r="J45" s="107" t="s">
        <v>427</v>
      </c>
      <c r="K45" s="107" t="s">
        <v>263</v>
      </c>
      <c r="L45" s="107" t="s">
        <v>263</v>
      </c>
    </row>
    <row r="46" spans="2:12" ht="15" customHeight="1" x14ac:dyDescent="0.3">
      <c r="B46" s="81" t="s">
        <v>198</v>
      </c>
      <c r="C46" s="81" t="s">
        <v>199</v>
      </c>
      <c r="D46" s="81" t="s">
        <v>200</v>
      </c>
      <c r="F46" s="81" t="s">
        <v>198</v>
      </c>
      <c r="G46" s="81" t="s">
        <v>199</v>
      </c>
      <c r="H46" s="81" t="s">
        <v>200</v>
      </c>
      <c r="J46" s="81" t="s">
        <v>198</v>
      </c>
      <c r="K46" s="81" t="s">
        <v>199</v>
      </c>
      <c r="L46" s="81" t="s">
        <v>200</v>
      </c>
    </row>
    <row r="47" spans="2:12" ht="15" customHeight="1" x14ac:dyDescent="0.3">
      <c r="B47" s="82" t="s">
        <v>264</v>
      </c>
      <c r="C47" s="82" t="s">
        <v>202</v>
      </c>
      <c r="D47" s="83">
        <v>4</v>
      </c>
      <c r="F47" s="82" t="s">
        <v>265</v>
      </c>
      <c r="G47" s="82" t="s">
        <v>202</v>
      </c>
      <c r="H47" s="83">
        <v>4</v>
      </c>
      <c r="J47" s="82" t="s">
        <v>216</v>
      </c>
      <c r="K47" s="82" t="s">
        <v>219</v>
      </c>
      <c r="L47" s="83">
        <v>4</v>
      </c>
    </row>
    <row r="48" spans="2:12" ht="15" customHeight="1" x14ac:dyDescent="0.3">
      <c r="B48" s="82" t="s">
        <v>218</v>
      </c>
      <c r="C48" s="82" t="s">
        <v>222</v>
      </c>
      <c r="D48" s="83">
        <v>20</v>
      </c>
      <c r="F48" s="82" t="s">
        <v>218</v>
      </c>
      <c r="G48" s="82" t="s">
        <v>222</v>
      </c>
      <c r="H48" s="83">
        <v>20</v>
      </c>
      <c r="J48" s="82" t="s">
        <v>203</v>
      </c>
      <c r="K48" s="82" t="s">
        <v>219</v>
      </c>
      <c r="L48" s="83">
        <v>4</v>
      </c>
    </row>
    <row r="49" spans="2:12" ht="15" customHeight="1" x14ac:dyDescent="0.3">
      <c r="B49" s="82" t="s">
        <v>205</v>
      </c>
      <c r="C49" s="82" t="s">
        <v>266</v>
      </c>
      <c r="D49" s="83">
        <v>120</v>
      </c>
      <c r="F49" s="82" t="s">
        <v>205</v>
      </c>
      <c r="G49" s="82" t="s">
        <v>220</v>
      </c>
      <c r="H49" s="83">
        <v>80</v>
      </c>
      <c r="J49" s="82" t="s">
        <v>267</v>
      </c>
      <c r="K49" s="82" t="s">
        <v>222</v>
      </c>
      <c r="L49" s="83">
        <v>20</v>
      </c>
    </row>
    <row r="50" spans="2:12" ht="15" customHeight="1" x14ac:dyDescent="0.3">
      <c r="B50" s="82" t="s">
        <v>208</v>
      </c>
      <c r="C50" s="82" t="s">
        <v>268</v>
      </c>
      <c r="D50" s="83">
        <v>500</v>
      </c>
      <c r="F50" s="82" t="s">
        <v>208</v>
      </c>
      <c r="G50" s="82" t="s">
        <v>209</v>
      </c>
      <c r="H50" s="83">
        <v>200</v>
      </c>
      <c r="J50" s="82" t="s">
        <v>269</v>
      </c>
      <c r="K50" s="82" t="s">
        <v>240</v>
      </c>
      <c r="L50" s="83">
        <v>4</v>
      </c>
    </row>
    <row r="51" spans="2:12" ht="15" customHeight="1" x14ac:dyDescent="0.3">
      <c r="B51" s="82" t="s">
        <v>238</v>
      </c>
      <c r="C51" s="82" t="s">
        <v>209</v>
      </c>
      <c r="D51" s="83">
        <v>200</v>
      </c>
      <c r="F51" s="82" t="s">
        <v>210</v>
      </c>
      <c r="G51" s="82" t="s">
        <v>211</v>
      </c>
      <c r="H51" s="83">
        <v>1</v>
      </c>
      <c r="J51" s="82" t="s">
        <v>270</v>
      </c>
      <c r="K51" s="82" t="s">
        <v>240</v>
      </c>
      <c r="L51" s="83">
        <v>4</v>
      </c>
    </row>
    <row r="52" spans="2:12" ht="15" customHeight="1" x14ac:dyDescent="0.3">
      <c r="B52" s="82" t="s">
        <v>271</v>
      </c>
      <c r="C52" s="82" t="s">
        <v>240</v>
      </c>
      <c r="D52" s="83">
        <v>4</v>
      </c>
      <c r="G52" s="81" t="s">
        <v>49</v>
      </c>
      <c r="H52" s="84">
        <f>SUM(H47:H51)</f>
        <v>305</v>
      </c>
      <c r="K52" s="81" t="s">
        <v>49</v>
      </c>
      <c r="L52" s="84">
        <f>SUM(L47:L51)</f>
        <v>36</v>
      </c>
    </row>
    <row r="53" spans="2:12" ht="15" customHeight="1" x14ac:dyDescent="0.3">
      <c r="B53" s="82" t="s">
        <v>272</v>
      </c>
      <c r="C53" s="82" t="s">
        <v>240</v>
      </c>
      <c r="D53" s="83">
        <v>4</v>
      </c>
    </row>
    <row r="54" spans="2:12" ht="15" customHeight="1" x14ac:dyDescent="0.3">
      <c r="B54" s="82" t="s">
        <v>273</v>
      </c>
      <c r="C54" s="82" t="s">
        <v>240</v>
      </c>
      <c r="D54" s="83">
        <v>4</v>
      </c>
    </row>
    <row r="55" spans="2:12" ht="15" customHeight="1" x14ac:dyDescent="0.3">
      <c r="B55" s="82" t="s">
        <v>274</v>
      </c>
      <c r="C55" s="82" t="s">
        <v>240</v>
      </c>
      <c r="D55" s="83">
        <v>4</v>
      </c>
    </row>
    <row r="56" spans="2:12" ht="15" customHeight="1" x14ac:dyDescent="0.3">
      <c r="B56" s="82" t="s">
        <v>228</v>
      </c>
      <c r="C56" s="82" t="s">
        <v>222</v>
      </c>
      <c r="D56" s="83">
        <v>20</v>
      </c>
    </row>
    <row r="57" spans="2:12" ht="15" customHeight="1" x14ac:dyDescent="0.3">
      <c r="B57" s="82" t="s">
        <v>231</v>
      </c>
      <c r="C57" s="82" t="s">
        <v>232</v>
      </c>
      <c r="D57" s="83">
        <v>8</v>
      </c>
    </row>
    <row r="58" spans="2:12" ht="15" customHeight="1" x14ac:dyDescent="0.3">
      <c r="C58" s="81" t="s">
        <v>49</v>
      </c>
      <c r="D58" s="84">
        <f>SUM(D47:D57)</f>
        <v>888</v>
      </c>
    </row>
    <row r="59" spans="2:12" ht="15" customHeight="1" x14ac:dyDescent="0.3"/>
    <row r="60" spans="2:12" ht="15" customHeight="1" x14ac:dyDescent="0.3">
      <c r="B60" s="107" t="s">
        <v>428</v>
      </c>
      <c r="C60" s="107" t="s">
        <v>275</v>
      </c>
      <c r="D60" s="107" t="s">
        <v>275</v>
      </c>
      <c r="F60" s="107" t="s">
        <v>429</v>
      </c>
      <c r="G60" s="107" t="e">
        <f t="shared" ref="G55:G63" si="0">E60+(D60*F60)</f>
        <v>#VALUE!</v>
      </c>
      <c r="H60" s="107" t="s">
        <v>276</v>
      </c>
      <c r="J60" s="107" t="s">
        <v>430</v>
      </c>
      <c r="K60" s="107" t="s">
        <v>277</v>
      </c>
      <c r="L60" s="107" t="s">
        <v>277</v>
      </c>
    </row>
    <row r="61" spans="2:12" ht="15" customHeight="1" x14ac:dyDescent="0.3">
      <c r="B61" s="81" t="s">
        <v>198</v>
      </c>
      <c r="C61" s="81" t="s">
        <v>199</v>
      </c>
      <c r="D61" s="81" t="s">
        <v>200</v>
      </c>
      <c r="F61" s="81" t="s">
        <v>198</v>
      </c>
      <c r="G61" s="81" t="s">
        <v>199</v>
      </c>
      <c r="H61" s="81" t="s">
        <v>200</v>
      </c>
      <c r="J61" s="81" t="s">
        <v>198</v>
      </c>
      <c r="K61" s="81" t="s">
        <v>199</v>
      </c>
      <c r="L61" s="81" t="s">
        <v>200</v>
      </c>
    </row>
    <row r="62" spans="2:12" ht="15" customHeight="1" x14ac:dyDescent="0.3">
      <c r="B62" s="82" t="s">
        <v>278</v>
      </c>
      <c r="C62" s="82" t="s">
        <v>202</v>
      </c>
      <c r="D62" s="83">
        <v>4</v>
      </c>
      <c r="F62" s="82" t="s">
        <v>279</v>
      </c>
      <c r="G62" s="82" t="s">
        <v>202</v>
      </c>
      <c r="H62" s="83">
        <v>4</v>
      </c>
      <c r="J62" s="82" t="s">
        <v>280</v>
      </c>
      <c r="K62" s="82" t="s">
        <v>202</v>
      </c>
      <c r="L62" s="83">
        <v>4</v>
      </c>
    </row>
    <row r="63" spans="2:12" ht="15" customHeight="1" x14ac:dyDescent="0.3">
      <c r="B63" s="82" t="s">
        <v>216</v>
      </c>
      <c r="C63" s="82" t="s">
        <v>219</v>
      </c>
      <c r="D63" s="83">
        <v>4</v>
      </c>
      <c r="F63" s="82" t="s">
        <v>265</v>
      </c>
      <c r="G63" s="82" t="s">
        <v>219</v>
      </c>
      <c r="H63" s="83">
        <v>4</v>
      </c>
      <c r="J63" s="82" t="s">
        <v>278</v>
      </c>
      <c r="K63" s="82" t="s">
        <v>219</v>
      </c>
      <c r="L63" s="83">
        <v>4</v>
      </c>
    </row>
    <row r="64" spans="2:12" ht="15" customHeight="1" x14ac:dyDescent="0.3">
      <c r="B64" s="82" t="s">
        <v>264</v>
      </c>
      <c r="C64" s="82" t="s">
        <v>219</v>
      </c>
      <c r="D64" s="83">
        <v>4</v>
      </c>
      <c r="F64" s="82" t="s">
        <v>264</v>
      </c>
      <c r="G64" s="82" t="s">
        <v>219</v>
      </c>
      <c r="H64" s="83">
        <v>4</v>
      </c>
      <c r="J64" s="82" t="s">
        <v>279</v>
      </c>
      <c r="K64" s="82" t="s">
        <v>219</v>
      </c>
      <c r="L64" s="83">
        <v>4</v>
      </c>
    </row>
    <row r="65" spans="2:12" ht="15" customHeight="1" x14ac:dyDescent="0.3">
      <c r="B65" s="82" t="s">
        <v>203</v>
      </c>
      <c r="C65" s="82" t="s">
        <v>219</v>
      </c>
      <c r="D65" s="83">
        <v>4</v>
      </c>
      <c r="F65" s="82" t="s">
        <v>248</v>
      </c>
      <c r="G65" s="82" t="s">
        <v>240</v>
      </c>
      <c r="H65" s="83">
        <v>4</v>
      </c>
      <c r="J65" s="82" t="s">
        <v>248</v>
      </c>
      <c r="K65" s="82" t="s">
        <v>240</v>
      </c>
      <c r="L65" s="83">
        <v>4</v>
      </c>
    </row>
    <row r="66" spans="2:12" ht="15" customHeight="1" x14ac:dyDescent="0.3">
      <c r="B66" s="82" t="s">
        <v>281</v>
      </c>
      <c r="C66" s="82" t="s">
        <v>222</v>
      </c>
      <c r="D66" s="83">
        <v>20</v>
      </c>
      <c r="F66" s="82" t="s">
        <v>250</v>
      </c>
      <c r="G66" s="82" t="s">
        <v>240</v>
      </c>
      <c r="H66" s="83">
        <v>4</v>
      </c>
      <c r="J66" s="82" t="s">
        <v>250</v>
      </c>
      <c r="K66" s="82" t="s">
        <v>240</v>
      </c>
      <c r="L66" s="83">
        <v>4</v>
      </c>
    </row>
    <row r="67" spans="2:12" ht="15" customHeight="1" x14ac:dyDescent="0.3">
      <c r="B67" s="82" t="s">
        <v>248</v>
      </c>
      <c r="C67" s="82" t="s">
        <v>240</v>
      </c>
      <c r="D67" s="83">
        <v>4</v>
      </c>
      <c r="F67" s="82" t="s">
        <v>228</v>
      </c>
      <c r="G67" s="82" t="s">
        <v>229</v>
      </c>
      <c r="H67" s="83">
        <v>15</v>
      </c>
      <c r="K67" s="81" t="s">
        <v>49</v>
      </c>
      <c r="L67" s="84">
        <f>SUM(L62:L66)</f>
        <v>20</v>
      </c>
    </row>
    <row r="68" spans="2:12" ht="15" customHeight="1" x14ac:dyDescent="0.3">
      <c r="B68" s="82" t="s">
        <v>250</v>
      </c>
      <c r="C68" s="82" t="s">
        <v>240</v>
      </c>
      <c r="D68" s="83">
        <v>4</v>
      </c>
      <c r="G68" s="81" t="s">
        <v>49</v>
      </c>
      <c r="H68" s="84">
        <f>SUM(H62:H67)</f>
        <v>35</v>
      </c>
    </row>
    <row r="69" spans="2:12" ht="15" customHeight="1" x14ac:dyDescent="0.3">
      <c r="B69" s="82" t="s">
        <v>282</v>
      </c>
      <c r="C69" s="82" t="s">
        <v>211</v>
      </c>
      <c r="D69" s="83">
        <v>1</v>
      </c>
    </row>
    <row r="70" spans="2:12" ht="15" customHeight="1" x14ac:dyDescent="0.3">
      <c r="B70" s="82" t="s">
        <v>228</v>
      </c>
      <c r="C70" s="82" t="s">
        <v>229</v>
      </c>
      <c r="D70" s="83">
        <v>15</v>
      </c>
    </row>
    <row r="71" spans="2:12" ht="15" customHeight="1" x14ac:dyDescent="0.3">
      <c r="C71" s="81" t="s">
        <v>49</v>
      </c>
      <c r="D71" s="84">
        <f>SUM(D62:D70)</f>
        <v>60</v>
      </c>
    </row>
    <row r="72" spans="2:12" ht="15" customHeight="1" x14ac:dyDescent="0.3"/>
    <row r="73" spans="2:12" ht="15" customHeight="1" x14ac:dyDescent="0.3">
      <c r="B73" s="107" t="s">
        <v>431</v>
      </c>
      <c r="C73" s="107" t="s">
        <v>283</v>
      </c>
      <c r="D73" s="107" t="s">
        <v>283</v>
      </c>
      <c r="F73" s="107" t="s">
        <v>432</v>
      </c>
      <c r="G73" s="107" t="s">
        <v>284</v>
      </c>
      <c r="H73" s="107" t="s">
        <v>284</v>
      </c>
      <c r="J73" s="107" t="s">
        <v>433</v>
      </c>
      <c r="K73" s="107" t="s">
        <v>285</v>
      </c>
      <c r="L73" s="107" t="s">
        <v>285</v>
      </c>
    </row>
    <row r="74" spans="2:12" ht="15" customHeight="1" x14ac:dyDescent="0.3">
      <c r="B74" s="81" t="s">
        <v>198</v>
      </c>
      <c r="C74" s="81" t="s">
        <v>199</v>
      </c>
      <c r="D74" s="81" t="s">
        <v>200</v>
      </c>
      <c r="F74" s="81" t="s">
        <v>198</v>
      </c>
      <c r="G74" s="81" t="s">
        <v>199</v>
      </c>
      <c r="H74" s="81" t="s">
        <v>200</v>
      </c>
      <c r="J74" s="81" t="s">
        <v>198</v>
      </c>
      <c r="K74" s="81" t="s">
        <v>199</v>
      </c>
      <c r="L74" s="81" t="s">
        <v>200</v>
      </c>
    </row>
    <row r="75" spans="2:12" ht="15" customHeight="1" x14ac:dyDescent="0.3">
      <c r="B75" s="82" t="s">
        <v>286</v>
      </c>
      <c r="C75" s="82" t="s">
        <v>246</v>
      </c>
      <c r="D75" s="83">
        <v>8</v>
      </c>
      <c r="F75" s="82" t="s">
        <v>287</v>
      </c>
      <c r="G75" s="82" t="s">
        <v>246</v>
      </c>
      <c r="H75" s="83">
        <v>8</v>
      </c>
      <c r="J75" s="82" t="s">
        <v>288</v>
      </c>
      <c r="K75" s="82" t="s">
        <v>202</v>
      </c>
      <c r="L75" s="83">
        <v>4</v>
      </c>
    </row>
    <row r="76" spans="2:12" ht="15" customHeight="1" x14ac:dyDescent="0.3">
      <c r="B76" s="82" t="s">
        <v>278</v>
      </c>
      <c r="C76" s="82" t="s">
        <v>219</v>
      </c>
      <c r="D76" s="83">
        <v>4</v>
      </c>
      <c r="F76" s="82" t="s">
        <v>286</v>
      </c>
      <c r="G76" s="82" t="s">
        <v>246</v>
      </c>
      <c r="H76" s="83">
        <v>8</v>
      </c>
      <c r="J76" s="82" t="s">
        <v>264</v>
      </c>
      <c r="K76" s="82" t="s">
        <v>219</v>
      </c>
      <c r="L76" s="83">
        <v>4</v>
      </c>
    </row>
    <row r="77" spans="2:12" ht="15" customHeight="1" x14ac:dyDescent="0.3">
      <c r="B77" s="82" t="s">
        <v>289</v>
      </c>
      <c r="C77" s="82" t="s">
        <v>240</v>
      </c>
      <c r="D77" s="83">
        <v>4</v>
      </c>
      <c r="F77" s="82" t="s">
        <v>290</v>
      </c>
      <c r="G77" s="82" t="s">
        <v>219</v>
      </c>
      <c r="H77" s="83">
        <v>4</v>
      </c>
      <c r="J77" s="82" t="s">
        <v>291</v>
      </c>
      <c r="K77" s="82" t="s">
        <v>219</v>
      </c>
      <c r="L77" s="83">
        <v>4</v>
      </c>
    </row>
    <row r="78" spans="2:12" ht="15" customHeight="1" x14ac:dyDescent="0.3">
      <c r="B78" s="82" t="s">
        <v>292</v>
      </c>
      <c r="C78" s="82" t="s">
        <v>232</v>
      </c>
      <c r="D78" s="83">
        <v>8</v>
      </c>
      <c r="F78" s="82" t="s">
        <v>293</v>
      </c>
      <c r="G78" s="82" t="s">
        <v>219</v>
      </c>
      <c r="H78" s="83">
        <v>4</v>
      </c>
      <c r="J78" s="82" t="s">
        <v>218</v>
      </c>
      <c r="K78" s="82" t="s">
        <v>294</v>
      </c>
      <c r="L78" s="83">
        <v>30</v>
      </c>
    </row>
    <row r="79" spans="2:12" ht="15" customHeight="1" x14ac:dyDescent="0.3">
      <c r="B79" s="82" t="s">
        <v>295</v>
      </c>
      <c r="C79" s="82" t="s">
        <v>232</v>
      </c>
      <c r="D79" s="83">
        <v>8</v>
      </c>
      <c r="F79" s="82" t="s">
        <v>296</v>
      </c>
      <c r="G79" s="82" t="s">
        <v>232</v>
      </c>
      <c r="H79" s="83">
        <v>8</v>
      </c>
      <c r="J79" s="82" t="s">
        <v>205</v>
      </c>
      <c r="K79" s="82" t="s">
        <v>266</v>
      </c>
      <c r="L79" s="83">
        <v>120</v>
      </c>
    </row>
    <row r="80" spans="2:12" ht="15" customHeight="1" x14ac:dyDescent="0.3">
      <c r="B80" s="82" t="s">
        <v>297</v>
      </c>
      <c r="C80" s="82" t="s">
        <v>298</v>
      </c>
      <c r="D80" s="83">
        <v>14</v>
      </c>
      <c r="F80" s="82" t="s">
        <v>299</v>
      </c>
      <c r="G80" s="82" t="s">
        <v>232</v>
      </c>
      <c r="H80" s="83">
        <v>8</v>
      </c>
      <c r="J80" s="82" t="s">
        <v>208</v>
      </c>
      <c r="K80" s="82" t="s">
        <v>268</v>
      </c>
      <c r="L80" s="83">
        <v>500</v>
      </c>
    </row>
    <row r="81" spans="2:12" ht="15" customHeight="1" x14ac:dyDescent="0.3">
      <c r="B81" s="82" t="s">
        <v>300</v>
      </c>
      <c r="C81" s="82" t="s">
        <v>298</v>
      </c>
      <c r="D81" s="83">
        <v>14</v>
      </c>
      <c r="F81" s="82" t="s">
        <v>301</v>
      </c>
      <c r="G81" s="82" t="s">
        <v>232</v>
      </c>
      <c r="H81" s="83">
        <v>8</v>
      </c>
      <c r="J81" s="82" t="s">
        <v>302</v>
      </c>
      <c r="K81" s="82" t="s">
        <v>222</v>
      </c>
      <c r="L81" s="83">
        <v>20</v>
      </c>
    </row>
    <row r="82" spans="2:12" ht="15" customHeight="1" x14ac:dyDescent="0.3">
      <c r="B82" s="82" t="s">
        <v>303</v>
      </c>
      <c r="C82" s="82" t="s">
        <v>298</v>
      </c>
      <c r="D82" s="83">
        <v>14</v>
      </c>
      <c r="F82" s="82" t="s">
        <v>304</v>
      </c>
      <c r="G82" s="82" t="s">
        <v>232</v>
      </c>
      <c r="H82" s="83">
        <v>8</v>
      </c>
      <c r="J82" s="82" t="s">
        <v>305</v>
      </c>
      <c r="K82" s="82" t="s">
        <v>306</v>
      </c>
      <c r="L82" s="83">
        <v>14</v>
      </c>
    </row>
    <row r="83" spans="2:12" ht="15" customHeight="1" x14ac:dyDescent="0.3">
      <c r="B83" s="82" t="s">
        <v>307</v>
      </c>
      <c r="C83" s="82" t="s">
        <v>298</v>
      </c>
      <c r="D83" s="83">
        <v>14</v>
      </c>
      <c r="F83" s="82" t="s">
        <v>308</v>
      </c>
      <c r="G83" s="82" t="s">
        <v>309</v>
      </c>
      <c r="H83" s="83">
        <v>300</v>
      </c>
      <c r="J83" s="82" t="s">
        <v>271</v>
      </c>
      <c r="K83" s="82" t="s">
        <v>240</v>
      </c>
      <c r="L83" s="83">
        <v>4</v>
      </c>
    </row>
    <row r="84" spans="2:12" ht="15" customHeight="1" x14ac:dyDescent="0.3">
      <c r="B84" s="82" t="s">
        <v>228</v>
      </c>
      <c r="C84" s="82" t="s">
        <v>229</v>
      </c>
      <c r="D84" s="83">
        <v>15</v>
      </c>
      <c r="F84" s="82" t="s">
        <v>228</v>
      </c>
      <c r="G84" s="82" t="s">
        <v>229</v>
      </c>
      <c r="H84" s="83">
        <v>15</v>
      </c>
      <c r="J84" s="82" t="s">
        <v>272</v>
      </c>
      <c r="K84" s="82" t="s">
        <v>240</v>
      </c>
      <c r="L84" s="83">
        <v>4</v>
      </c>
    </row>
    <row r="85" spans="2:12" ht="15" customHeight="1" x14ac:dyDescent="0.3">
      <c r="B85" s="82" t="s">
        <v>310</v>
      </c>
      <c r="C85" s="82" t="s">
        <v>219</v>
      </c>
      <c r="D85" s="83">
        <v>4</v>
      </c>
      <c r="F85" s="82" t="s">
        <v>311</v>
      </c>
      <c r="G85" s="82" t="s">
        <v>232</v>
      </c>
      <c r="H85" s="83">
        <v>8</v>
      </c>
      <c r="J85" s="82" t="s">
        <v>228</v>
      </c>
      <c r="K85" s="82" t="s">
        <v>222</v>
      </c>
      <c r="L85" s="83">
        <v>20</v>
      </c>
    </row>
    <row r="86" spans="2:12" ht="15" customHeight="1" x14ac:dyDescent="0.3">
      <c r="B86" s="82" t="s">
        <v>312</v>
      </c>
      <c r="C86" s="82" t="s">
        <v>260</v>
      </c>
      <c r="D86" s="83">
        <v>16</v>
      </c>
      <c r="F86" s="82" t="s">
        <v>313</v>
      </c>
      <c r="G86" s="82" t="s">
        <v>232</v>
      </c>
      <c r="H86" s="83">
        <v>8</v>
      </c>
      <c r="K86" s="81" t="s">
        <v>49</v>
      </c>
      <c r="L86" s="84">
        <f>SUM(L75:L85)</f>
        <v>724</v>
      </c>
    </row>
    <row r="87" spans="2:12" ht="15" customHeight="1" x14ac:dyDescent="0.3">
      <c r="B87" s="82" t="s">
        <v>231</v>
      </c>
      <c r="C87" s="82" t="s">
        <v>232</v>
      </c>
      <c r="D87" s="83">
        <v>8</v>
      </c>
      <c r="G87" s="81" t="s">
        <v>49</v>
      </c>
      <c r="H87" s="84">
        <f>SUM(H75:H86)</f>
        <v>387</v>
      </c>
    </row>
    <row r="88" spans="2:12" ht="15" customHeight="1" x14ac:dyDescent="0.3">
      <c r="B88" s="82" t="s">
        <v>314</v>
      </c>
      <c r="C88" s="82" t="s">
        <v>232</v>
      </c>
      <c r="D88" s="83">
        <v>8</v>
      </c>
    </row>
    <row r="89" spans="2:12" ht="15" customHeight="1" x14ac:dyDescent="0.3">
      <c r="C89" s="81" t="s">
        <v>49</v>
      </c>
      <c r="D89" s="84">
        <f>SUM(D75:D88)</f>
        <v>139</v>
      </c>
    </row>
    <row r="90" spans="2:12" ht="15" customHeight="1" x14ac:dyDescent="0.3"/>
    <row r="91" spans="2:12" ht="15" customHeight="1" x14ac:dyDescent="0.3">
      <c r="B91" s="107" t="s">
        <v>434</v>
      </c>
      <c r="C91" s="107" t="s">
        <v>315</v>
      </c>
      <c r="D91" s="107" t="s">
        <v>315</v>
      </c>
      <c r="F91" s="107" t="s">
        <v>435</v>
      </c>
      <c r="G91" s="107" t="s">
        <v>316</v>
      </c>
      <c r="H91" s="107" t="s">
        <v>316</v>
      </c>
      <c r="J91" s="107" t="s">
        <v>436</v>
      </c>
      <c r="K91" s="107" t="s">
        <v>317</v>
      </c>
      <c r="L91" s="107" t="s">
        <v>317</v>
      </c>
    </row>
    <row r="92" spans="2:12" ht="15" customHeight="1" x14ac:dyDescent="0.3">
      <c r="B92" s="81" t="s">
        <v>198</v>
      </c>
      <c r="C92" s="81" t="s">
        <v>199</v>
      </c>
      <c r="D92" s="81" t="s">
        <v>200</v>
      </c>
      <c r="F92" s="81" t="s">
        <v>198</v>
      </c>
      <c r="G92" s="81" t="s">
        <v>199</v>
      </c>
      <c r="H92" s="81" t="s">
        <v>200</v>
      </c>
      <c r="J92" s="81" t="s">
        <v>198</v>
      </c>
      <c r="K92" s="81" t="s">
        <v>199</v>
      </c>
      <c r="L92" s="81" t="s">
        <v>200</v>
      </c>
    </row>
    <row r="93" spans="2:12" ht="15" customHeight="1" x14ac:dyDescent="0.3">
      <c r="B93" s="82" t="s">
        <v>288</v>
      </c>
      <c r="C93" s="82" t="s">
        <v>219</v>
      </c>
      <c r="D93" s="83">
        <v>4</v>
      </c>
      <c r="F93" s="82" t="s">
        <v>318</v>
      </c>
      <c r="G93" s="82" t="s">
        <v>246</v>
      </c>
      <c r="H93" s="83">
        <v>8</v>
      </c>
      <c r="J93" s="82" t="s">
        <v>319</v>
      </c>
      <c r="K93" s="82" t="s">
        <v>246</v>
      </c>
      <c r="L93" s="83">
        <v>8</v>
      </c>
    </row>
    <row r="94" spans="2:12" ht="15" customHeight="1" x14ac:dyDescent="0.3">
      <c r="B94" s="82" t="s">
        <v>278</v>
      </c>
      <c r="C94" s="82" t="s">
        <v>219</v>
      </c>
      <c r="D94" s="83">
        <v>4</v>
      </c>
      <c r="F94" s="82" t="s">
        <v>288</v>
      </c>
      <c r="G94" s="82" t="s">
        <v>219</v>
      </c>
      <c r="H94" s="83">
        <v>4</v>
      </c>
      <c r="J94" s="82" t="s">
        <v>318</v>
      </c>
      <c r="K94" s="82" t="s">
        <v>246</v>
      </c>
      <c r="L94" s="83">
        <v>8</v>
      </c>
    </row>
    <row r="95" spans="2:12" ht="15" customHeight="1" x14ac:dyDescent="0.3">
      <c r="B95" s="82" t="s">
        <v>320</v>
      </c>
      <c r="C95" s="82" t="s">
        <v>207</v>
      </c>
      <c r="D95" s="83">
        <v>50</v>
      </c>
      <c r="F95" s="82" t="s">
        <v>321</v>
      </c>
      <c r="G95" s="82" t="s">
        <v>240</v>
      </c>
      <c r="H95" s="83">
        <v>4</v>
      </c>
      <c r="J95" s="82" t="s">
        <v>322</v>
      </c>
      <c r="K95" s="82" t="s">
        <v>222</v>
      </c>
      <c r="L95" s="83">
        <v>20</v>
      </c>
    </row>
    <row r="96" spans="2:12" ht="15" customHeight="1" x14ac:dyDescent="0.3">
      <c r="C96" s="81" t="s">
        <v>49</v>
      </c>
      <c r="D96" s="84">
        <f>SUM(D93:D95)</f>
        <v>58</v>
      </c>
      <c r="F96" s="82" t="s">
        <v>323</v>
      </c>
      <c r="G96" s="82" t="s">
        <v>306</v>
      </c>
      <c r="H96" s="83">
        <v>14</v>
      </c>
      <c r="J96" s="82" t="s">
        <v>324</v>
      </c>
      <c r="K96" s="82" t="s">
        <v>268</v>
      </c>
      <c r="L96" s="83">
        <v>500</v>
      </c>
    </row>
    <row r="97" spans="2:12" ht="15" customHeight="1" x14ac:dyDescent="0.3">
      <c r="F97" s="82" t="s">
        <v>325</v>
      </c>
      <c r="G97" s="82" t="s">
        <v>268</v>
      </c>
      <c r="H97" s="83">
        <v>500</v>
      </c>
      <c r="J97" s="82" t="s">
        <v>326</v>
      </c>
      <c r="K97" s="82" t="s">
        <v>327</v>
      </c>
      <c r="L97" s="83">
        <v>64</v>
      </c>
    </row>
    <row r="98" spans="2:12" ht="15" customHeight="1" x14ac:dyDescent="0.3">
      <c r="F98" s="82" t="s">
        <v>228</v>
      </c>
      <c r="G98" s="82" t="s">
        <v>222</v>
      </c>
      <c r="H98" s="83">
        <v>20</v>
      </c>
      <c r="J98" s="82" t="s">
        <v>328</v>
      </c>
      <c r="K98" s="82" t="s">
        <v>232</v>
      </c>
      <c r="L98" s="83">
        <v>8</v>
      </c>
    </row>
    <row r="99" spans="2:12" ht="15" customHeight="1" x14ac:dyDescent="0.3">
      <c r="F99" s="82" t="s">
        <v>310</v>
      </c>
      <c r="G99" s="82" t="s">
        <v>219</v>
      </c>
      <c r="H99" s="83">
        <v>4</v>
      </c>
      <c r="J99" s="82" t="s">
        <v>329</v>
      </c>
      <c r="K99" s="82" t="s">
        <v>298</v>
      </c>
      <c r="L99" s="83">
        <v>14</v>
      </c>
    </row>
    <row r="100" spans="2:12" ht="15" customHeight="1" x14ac:dyDescent="0.3">
      <c r="F100" s="82" t="s">
        <v>312</v>
      </c>
      <c r="G100" s="82" t="s">
        <v>260</v>
      </c>
      <c r="H100" s="83">
        <v>16</v>
      </c>
      <c r="J100" s="82" t="s">
        <v>330</v>
      </c>
      <c r="K100" s="82" t="s">
        <v>298</v>
      </c>
      <c r="L100" s="83">
        <v>14</v>
      </c>
    </row>
    <row r="101" spans="2:12" ht="15" customHeight="1" x14ac:dyDescent="0.3">
      <c r="F101" s="82" t="s">
        <v>231</v>
      </c>
      <c r="G101" s="82" t="s">
        <v>232</v>
      </c>
      <c r="H101" s="83">
        <v>8</v>
      </c>
      <c r="J101" s="82" t="s">
        <v>310</v>
      </c>
      <c r="K101" s="82" t="s">
        <v>219</v>
      </c>
      <c r="L101" s="83">
        <v>4</v>
      </c>
    </row>
    <row r="102" spans="2:12" ht="15" customHeight="1" x14ac:dyDescent="0.3">
      <c r="F102" s="82" t="s">
        <v>314</v>
      </c>
      <c r="G102" s="82" t="s">
        <v>232</v>
      </c>
      <c r="H102" s="83">
        <v>8</v>
      </c>
      <c r="J102" s="82" t="s">
        <v>312</v>
      </c>
      <c r="K102" s="82" t="s">
        <v>260</v>
      </c>
      <c r="L102" s="83">
        <v>16</v>
      </c>
    </row>
    <row r="103" spans="2:12" ht="15" customHeight="1" x14ac:dyDescent="0.3">
      <c r="G103" s="81" t="s">
        <v>49</v>
      </c>
      <c r="H103" s="84">
        <f>SUM(H93:H102)</f>
        <v>586</v>
      </c>
      <c r="J103" s="82" t="s">
        <v>231</v>
      </c>
      <c r="K103" s="82" t="s">
        <v>232</v>
      </c>
      <c r="L103" s="83">
        <v>8</v>
      </c>
    </row>
    <row r="104" spans="2:12" ht="15" customHeight="1" x14ac:dyDescent="0.3">
      <c r="J104" s="82" t="s">
        <v>314</v>
      </c>
      <c r="K104" s="82" t="s">
        <v>232</v>
      </c>
      <c r="L104" s="83">
        <v>8</v>
      </c>
    </row>
    <row r="105" spans="2:12" ht="15" customHeight="1" x14ac:dyDescent="0.3">
      <c r="K105" s="81" t="s">
        <v>49</v>
      </c>
      <c r="L105" s="84">
        <f>SUM(L93:L104)</f>
        <v>672</v>
      </c>
    </row>
    <row r="106" spans="2:12" ht="15" customHeight="1" x14ac:dyDescent="0.3"/>
    <row r="107" spans="2:12" ht="15" customHeight="1" x14ac:dyDescent="0.3">
      <c r="B107" s="107" t="s">
        <v>437</v>
      </c>
      <c r="C107" s="107" t="s">
        <v>331</v>
      </c>
      <c r="D107" s="107" t="s">
        <v>331</v>
      </c>
      <c r="F107" s="107" t="s">
        <v>438</v>
      </c>
      <c r="G107" s="107" t="s">
        <v>332</v>
      </c>
      <c r="H107" s="107" t="s">
        <v>332</v>
      </c>
      <c r="J107" s="107" t="s">
        <v>439</v>
      </c>
      <c r="K107" s="107" t="s">
        <v>333</v>
      </c>
      <c r="L107" s="107" t="s">
        <v>333</v>
      </c>
    </row>
    <row r="108" spans="2:12" ht="15" customHeight="1" x14ac:dyDescent="0.3">
      <c r="B108" s="81" t="s">
        <v>198</v>
      </c>
      <c r="C108" s="81" t="s">
        <v>199</v>
      </c>
      <c r="D108" s="81" t="s">
        <v>200</v>
      </c>
      <c r="F108" s="81" t="s">
        <v>198</v>
      </c>
      <c r="G108" s="81" t="s">
        <v>199</v>
      </c>
      <c r="H108" s="81" t="s">
        <v>200</v>
      </c>
      <c r="J108" s="81" t="s">
        <v>198</v>
      </c>
      <c r="K108" s="81" t="s">
        <v>199</v>
      </c>
      <c r="L108" s="81" t="s">
        <v>200</v>
      </c>
    </row>
    <row r="109" spans="2:12" ht="15" customHeight="1" x14ac:dyDescent="0.3">
      <c r="B109" s="82" t="s">
        <v>334</v>
      </c>
      <c r="C109" s="82" t="s">
        <v>246</v>
      </c>
      <c r="D109" s="83">
        <v>8</v>
      </c>
      <c r="F109" s="82" t="s">
        <v>334</v>
      </c>
      <c r="G109" s="82" t="s">
        <v>246</v>
      </c>
      <c r="H109" s="83">
        <v>8</v>
      </c>
      <c r="J109" s="82" t="s">
        <v>335</v>
      </c>
      <c r="K109" s="82" t="s">
        <v>202</v>
      </c>
      <c r="L109" s="83">
        <v>4</v>
      </c>
    </row>
    <row r="110" spans="2:12" ht="15" customHeight="1" x14ac:dyDescent="0.3">
      <c r="B110" s="82" t="s">
        <v>264</v>
      </c>
      <c r="C110" s="82" t="s">
        <v>219</v>
      </c>
      <c r="D110" s="83">
        <v>4</v>
      </c>
      <c r="F110" s="82" t="s">
        <v>288</v>
      </c>
      <c r="G110" s="82" t="s">
        <v>219</v>
      </c>
      <c r="H110" s="83">
        <v>4</v>
      </c>
      <c r="J110" s="82" t="s">
        <v>264</v>
      </c>
      <c r="K110" s="82" t="s">
        <v>219</v>
      </c>
      <c r="L110" s="83">
        <v>4</v>
      </c>
    </row>
    <row r="111" spans="2:12" ht="15" customHeight="1" x14ac:dyDescent="0.3">
      <c r="B111" s="82" t="s">
        <v>336</v>
      </c>
      <c r="C111" s="82" t="s">
        <v>294</v>
      </c>
      <c r="D111" s="83">
        <v>30</v>
      </c>
      <c r="G111" s="81" t="s">
        <v>49</v>
      </c>
      <c r="H111" s="84">
        <f>SUM(H109:H110)</f>
        <v>12</v>
      </c>
      <c r="J111" s="82" t="s">
        <v>337</v>
      </c>
      <c r="K111" s="82" t="s">
        <v>294</v>
      </c>
      <c r="L111" s="83">
        <v>30</v>
      </c>
    </row>
    <row r="112" spans="2:12" ht="15" customHeight="1" x14ac:dyDescent="0.3">
      <c r="B112" s="82" t="s">
        <v>338</v>
      </c>
      <c r="C112" s="82" t="s">
        <v>232</v>
      </c>
      <c r="D112" s="83">
        <v>8</v>
      </c>
      <c r="J112" s="82" t="s">
        <v>339</v>
      </c>
      <c r="K112" s="82" t="s">
        <v>240</v>
      </c>
      <c r="L112" s="83">
        <v>4</v>
      </c>
    </row>
    <row r="113" spans="2:12" ht="15" customHeight="1" x14ac:dyDescent="0.3">
      <c r="B113" s="82" t="s">
        <v>340</v>
      </c>
      <c r="C113" s="82" t="s">
        <v>232</v>
      </c>
      <c r="D113" s="83">
        <v>8</v>
      </c>
      <c r="J113" s="82" t="s">
        <v>341</v>
      </c>
      <c r="K113" s="82" t="s">
        <v>240</v>
      </c>
      <c r="L113" s="83">
        <v>4</v>
      </c>
    </row>
    <row r="114" spans="2:12" ht="15" customHeight="1" x14ac:dyDescent="0.3">
      <c r="B114" s="82" t="s">
        <v>342</v>
      </c>
      <c r="C114" s="82" t="s">
        <v>343</v>
      </c>
      <c r="D114" s="83">
        <v>12</v>
      </c>
      <c r="J114" s="82" t="s">
        <v>325</v>
      </c>
      <c r="K114" s="82" t="s">
        <v>254</v>
      </c>
      <c r="L114" s="83">
        <v>1000</v>
      </c>
    </row>
    <row r="115" spans="2:12" ht="15" customHeight="1" x14ac:dyDescent="0.3">
      <c r="B115" s="82" t="s">
        <v>208</v>
      </c>
      <c r="C115" s="82" t="s">
        <v>268</v>
      </c>
      <c r="D115" s="83">
        <v>500</v>
      </c>
      <c r="J115" s="82" t="s">
        <v>344</v>
      </c>
      <c r="K115" s="82" t="s">
        <v>268</v>
      </c>
      <c r="L115" s="83">
        <v>500</v>
      </c>
    </row>
    <row r="116" spans="2:12" ht="15" customHeight="1" x14ac:dyDescent="0.3">
      <c r="B116" s="82" t="s">
        <v>345</v>
      </c>
      <c r="C116" s="82" t="s">
        <v>268</v>
      </c>
      <c r="D116" s="83">
        <v>500</v>
      </c>
      <c r="J116" s="82" t="s">
        <v>346</v>
      </c>
      <c r="K116" s="82" t="s">
        <v>268</v>
      </c>
      <c r="L116" s="83">
        <v>500</v>
      </c>
    </row>
    <row r="117" spans="2:12" ht="15" customHeight="1" x14ac:dyDescent="0.3">
      <c r="B117" s="82" t="s">
        <v>228</v>
      </c>
      <c r="C117" s="82" t="s">
        <v>222</v>
      </c>
      <c r="D117" s="83">
        <v>20</v>
      </c>
      <c r="J117" s="82" t="s">
        <v>228</v>
      </c>
      <c r="K117" s="82" t="s">
        <v>222</v>
      </c>
      <c r="L117" s="83">
        <v>20</v>
      </c>
    </row>
    <row r="118" spans="2:12" ht="15" customHeight="1" x14ac:dyDescent="0.3">
      <c r="B118" s="82" t="s">
        <v>310</v>
      </c>
      <c r="C118" s="82" t="s">
        <v>219</v>
      </c>
      <c r="D118" s="83">
        <v>4</v>
      </c>
      <c r="J118" s="82" t="s">
        <v>347</v>
      </c>
      <c r="K118" s="82" t="s">
        <v>219</v>
      </c>
      <c r="L118" s="83">
        <v>4</v>
      </c>
    </row>
    <row r="119" spans="2:12" ht="15" customHeight="1" x14ac:dyDescent="0.3">
      <c r="B119" s="82" t="s">
        <v>312</v>
      </c>
      <c r="C119" s="82" t="s">
        <v>260</v>
      </c>
      <c r="D119" s="83">
        <v>16</v>
      </c>
      <c r="J119" s="82" t="s">
        <v>312</v>
      </c>
      <c r="K119" s="82" t="s">
        <v>260</v>
      </c>
      <c r="L119" s="83">
        <v>16</v>
      </c>
    </row>
    <row r="120" spans="2:12" ht="15" customHeight="1" x14ac:dyDescent="0.3">
      <c r="B120" s="82" t="s">
        <v>231</v>
      </c>
      <c r="C120" s="82" t="s">
        <v>232</v>
      </c>
      <c r="D120" s="83">
        <v>8</v>
      </c>
      <c r="J120" s="82" t="s">
        <v>231</v>
      </c>
      <c r="K120" s="82" t="s">
        <v>232</v>
      </c>
      <c r="L120" s="83">
        <v>8</v>
      </c>
    </row>
    <row r="121" spans="2:12" ht="15" customHeight="1" x14ac:dyDescent="0.3">
      <c r="B121" s="82" t="s">
        <v>314</v>
      </c>
      <c r="C121" s="82" t="s">
        <v>232</v>
      </c>
      <c r="D121" s="83">
        <v>8</v>
      </c>
      <c r="K121" s="81" t="s">
        <v>49</v>
      </c>
      <c r="L121" s="84">
        <f>SUM(L109:L120)</f>
        <v>2094</v>
      </c>
    </row>
    <row r="122" spans="2:12" ht="15" customHeight="1" x14ac:dyDescent="0.3">
      <c r="C122" s="81" t="s">
        <v>49</v>
      </c>
      <c r="D122" s="84">
        <f>SUM(D109:D121)</f>
        <v>1126</v>
      </c>
    </row>
    <row r="123" spans="2:12" ht="15" customHeight="1" x14ac:dyDescent="0.3"/>
    <row r="124" spans="2:12" ht="15" customHeight="1" x14ac:dyDescent="0.3">
      <c r="B124" s="107" t="s">
        <v>440</v>
      </c>
      <c r="C124" s="107" t="s">
        <v>348</v>
      </c>
      <c r="D124" s="107" t="s">
        <v>348</v>
      </c>
      <c r="F124" s="107" t="s">
        <v>441</v>
      </c>
      <c r="G124" s="107" t="s">
        <v>349</v>
      </c>
      <c r="H124" s="107" t="s">
        <v>349</v>
      </c>
      <c r="J124" s="107" t="s">
        <v>442</v>
      </c>
      <c r="K124" s="107" t="s">
        <v>350</v>
      </c>
      <c r="L124" s="107" t="s">
        <v>350</v>
      </c>
    </row>
    <row r="125" spans="2:12" ht="15" customHeight="1" x14ac:dyDescent="0.3">
      <c r="B125" s="81" t="s">
        <v>198</v>
      </c>
      <c r="C125" s="81" t="s">
        <v>199</v>
      </c>
      <c r="D125" s="81" t="s">
        <v>200</v>
      </c>
      <c r="F125" s="81" t="s">
        <v>198</v>
      </c>
      <c r="G125" s="81" t="s">
        <v>199</v>
      </c>
      <c r="H125" s="81" t="s">
        <v>200</v>
      </c>
      <c r="J125" s="81" t="s">
        <v>198</v>
      </c>
      <c r="K125" s="81" t="s">
        <v>199</v>
      </c>
      <c r="L125" s="81" t="s">
        <v>200</v>
      </c>
    </row>
    <row r="126" spans="2:12" ht="15" customHeight="1" x14ac:dyDescent="0.3">
      <c r="B126" s="82" t="s">
        <v>335</v>
      </c>
      <c r="C126" s="82" t="s">
        <v>219</v>
      </c>
      <c r="D126" s="83">
        <v>4</v>
      </c>
      <c r="F126" s="82" t="s">
        <v>335</v>
      </c>
      <c r="G126" s="82" t="s">
        <v>219</v>
      </c>
      <c r="H126" s="83">
        <v>4</v>
      </c>
      <c r="J126" s="82" t="s">
        <v>335</v>
      </c>
      <c r="K126" s="82" t="s">
        <v>219</v>
      </c>
      <c r="L126" s="83">
        <v>4</v>
      </c>
    </row>
    <row r="127" spans="2:12" ht="15" customHeight="1" x14ac:dyDescent="0.3">
      <c r="B127" s="82" t="s">
        <v>318</v>
      </c>
      <c r="C127" s="82" t="s">
        <v>246</v>
      </c>
      <c r="D127" s="83">
        <v>8</v>
      </c>
      <c r="F127" s="82" t="s">
        <v>334</v>
      </c>
      <c r="G127" s="82" t="s">
        <v>246</v>
      </c>
      <c r="H127" s="83">
        <v>8</v>
      </c>
      <c r="J127" s="82" t="s">
        <v>278</v>
      </c>
      <c r="K127" s="82" t="s">
        <v>219</v>
      </c>
      <c r="L127" s="83">
        <v>4</v>
      </c>
    </row>
    <row r="128" spans="2:12" ht="15" customHeight="1" x14ac:dyDescent="0.3">
      <c r="C128" s="81" t="s">
        <v>49</v>
      </c>
      <c r="D128" s="84">
        <f>SUM(D126:D127)</f>
        <v>12</v>
      </c>
      <c r="G128" s="81" t="s">
        <v>49</v>
      </c>
      <c r="H128" s="84">
        <f>SUM(H126:H127)</f>
        <v>12</v>
      </c>
      <c r="J128" s="82" t="s">
        <v>351</v>
      </c>
      <c r="K128" s="82" t="s">
        <v>294</v>
      </c>
      <c r="L128" s="83">
        <v>30</v>
      </c>
    </row>
    <row r="129" spans="2:12" ht="15" customHeight="1" x14ac:dyDescent="0.3">
      <c r="J129" s="82" t="s">
        <v>352</v>
      </c>
      <c r="K129" s="82" t="s">
        <v>268</v>
      </c>
      <c r="L129" s="83">
        <v>500</v>
      </c>
    </row>
    <row r="130" spans="2:12" ht="15" customHeight="1" x14ac:dyDescent="0.3">
      <c r="J130" s="82" t="s">
        <v>353</v>
      </c>
      <c r="K130" s="82" t="s">
        <v>232</v>
      </c>
      <c r="L130" s="83">
        <v>8</v>
      </c>
    </row>
    <row r="131" spans="2:12" ht="15" customHeight="1" x14ac:dyDescent="0.3">
      <c r="K131" s="81" t="s">
        <v>49</v>
      </c>
      <c r="L131" s="84">
        <f>SUM(L126:L130)</f>
        <v>546</v>
      </c>
    </row>
    <row r="132" spans="2:12" ht="15" customHeight="1" x14ac:dyDescent="0.3"/>
    <row r="133" spans="2:12" ht="15" customHeight="1" x14ac:dyDescent="0.3">
      <c r="B133" s="107" t="s">
        <v>443</v>
      </c>
      <c r="C133" s="107" t="s">
        <v>354</v>
      </c>
      <c r="D133" s="107" t="s">
        <v>354</v>
      </c>
      <c r="F133" s="107" t="s">
        <v>444</v>
      </c>
      <c r="G133" s="107" t="s">
        <v>355</v>
      </c>
      <c r="H133" s="107" t="s">
        <v>355</v>
      </c>
      <c r="J133" s="107" t="s">
        <v>445</v>
      </c>
      <c r="K133" s="107" t="s">
        <v>356</v>
      </c>
      <c r="L133" s="107" t="s">
        <v>356</v>
      </c>
    </row>
    <row r="134" spans="2:12" ht="15" customHeight="1" x14ac:dyDescent="0.3">
      <c r="B134" s="81" t="s">
        <v>198</v>
      </c>
      <c r="C134" s="81" t="s">
        <v>199</v>
      </c>
      <c r="D134" s="81" t="s">
        <v>200</v>
      </c>
      <c r="F134" s="81" t="s">
        <v>198</v>
      </c>
      <c r="G134" s="81" t="s">
        <v>199</v>
      </c>
      <c r="H134" s="81" t="s">
        <v>200</v>
      </c>
      <c r="J134" s="81" t="s">
        <v>198</v>
      </c>
      <c r="K134" s="81" t="s">
        <v>199</v>
      </c>
      <c r="L134" s="81" t="s">
        <v>200</v>
      </c>
    </row>
    <row r="135" spans="2:12" ht="15" customHeight="1" x14ac:dyDescent="0.3">
      <c r="B135" s="82" t="s">
        <v>357</v>
      </c>
      <c r="C135" s="82" t="s">
        <v>202</v>
      </c>
      <c r="D135" s="83">
        <v>4</v>
      </c>
      <c r="F135" s="82" t="s">
        <v>358</v>
      </c>
      <c r="G135" s="82" t="s">
        <v>202</v>
      </c>
      <c r="H135" s="83">
        <v>4</v>
      </c>
      <c r="J135" s="82" t="s">
        <v>359</v>
      </c>
      <c r="K135" s="82" t="s">
        <v>202</v>
      </c>
      <c r="L135" s="83">
        <v>4</v>
      </c>
    </row>
    <row r="136" spans="2:12" ht="15" customHeight="1" x14ac:dyDescent="0.3">
      <c r="B136" s="82" t="s">
        <v>335</v>
      </c>
      <c r="C136" s="82" t="s">
        <v>219</v>
      </c>
      <c r="D136" s="83">
        <v>4</v>
      </c>
      <c r="F136" s="82" t="s">
        <v>205</v>
      </c>
      <c r="G136" s="82" t="s">
        <v>220</v>
      </c>
      <c r="H136" s="83">
        <v>80</v>
      </c>
      <c r="J136" s="82" t="s">
        <v>358</v>
      </c>
      <c r="K136" s="82" t="s">
        <v>219</v>
      </c>
      <c r="L136" s="83">
        <v>4</v>
      </c>
    </row>
    <row r="137" spans="2:12" ht="15" customHeight="1" x14ac:dyDescent="0.3">
      <c r="B137" s="82" t="s">
        <v>217</v>
      </c>
      <c r="C137" s="82" t="s">
        <v>219</v>
      </c>
      <c r="D137" s="83">
        <v>4</v>
      </c>
      <c r="F137" s="82" t="s">
        <v>208</v>
      </c>
      <c r="G137" s="82" t="s">
        <v>360</v>
      </c>
      <c r="H137" s="83">
        <v>250</v>
      </c>
      <c r="J137" s="82" t="s">
        <v>361</v>
      </c>
      <c r="K137" s="82" t="s">
        <v>294</v>
      </c>
      <c r="L137" s="83">
        <v>30</v>
      </c>
    </row>
    <row r="138" spans="2:12" ht="15" customHeight="1" x14ac:dyDescent="0.3">
      <c r="B138" s="82" t="s">
        <v>362</v>
      </c>
      <c r="C138" s="82" t="s">
        <v>229</v>
      </c>
      <c r="D138" s="83">
        <v>15</v>
      </c>
      <c r="F138" s="82" t="s">
        <v>363</v>
      </c>
      <c r="G138" s="82" t="s">
        <v>219</v>
      </c>
      <c r="H138" s="83">
        <v>4</v>
      </c>
      <c r="J138" s="82" t="s">
        <v>364</v>
      </c>
      <c r="K138" s="82" t="s">
        <v>206</v>
      </c>
      <c r="L138" s="83">
        <v>60</v>
      </c>
    </row>
    <row r="139" spans="2:12" ht="15" customHeight="1" x14ac:dyDescent="0.3">
      <c r="B139" s="82" t="s">
        <v>365</v>
      </c>
      <c r="C139" s="82" t="s">
        <v>268</v>
      </c>
      <c r="D139" s="83">
        <v>500</v>
      </c>
      <c r="F139" s="82" t="s">
        <v>366</v>
      </c>
      <c r="G139" s="82" t="s">
        <v>219</v>
      </c>
      <c r="H139" s="83">
        <v>4</v>
      </c>
      <c r="J139" s="82" t="s">
        <v>367</v>
      </c>
      <c r="K139" s="82" t="s">
        <v>240</v>
      </c>
      <c r="L139" s="83">
        <v>4</v>
      </c>
    </row>
    <row r="140" spans="2:12" ht="15" customHeight="1" x14ac:dyDescent="0.3">
      <c r="B140" s="82" t="s">
        <v>256</v>
      </c>
      <c r="C140" s="82" t="s">
        <v>232</v>
      </c>
      <c r="D140" s="83">
        <v>8</v>
      </c>
      <c r="F140" s="82" t="s">
        <v>210</v>
      </c>
      <c r="G140" s="82" t="s">
        <v>211</v>
      </c>
      <c r="H140" s="83">
        <v>1</v>
      </c>
      <c r="J140" s="82" t="s">
        <v>228</v>
      </c>
      <c r="K140" s="82" t="s">
        <v>222</v>
      </c>
      <c r="L140" s="83">
        <v>20</v>
      </c>
    </row>
    <row r="141" spans="2:12" ht="15" customHeight="1" x14ac:dyDescent="0.3">
      <c r="C141" s="81" t="s">
        <v>49</v>
      </c>
      <c r="D141" s="84">
        <f>SUM(D135:D140)</f>
        <v>535</v>
      </c>
      <c r="G141" s="81" t="s">
        <v>49</v>
      </c>
      <c r="H141" s="84">
        <f>SUM(H135:H140)</f>
        <v>343</v>
      </c>
      <c r="J141" s="82" t="s">
        <v>368</v>
      </c>
      <c r="K141" s="82" t="s">
        <v>222</v>
      </c>
      <c r="L141" s="83">
        <v>20</v>
      </c>
    </row>
    <row r="142" spans="2:12" ht="15" customHeight="1" x14ac:dyDescent="0.3">
      <c r="K142" s="81" t="s">
        <v>49</v>
      </c>
      <c r="L142" s="84">
        <f>SUM(L135:L141)</f>
        <v>142</v>
      </c>
    </row>
    <row r="143" spans="2:12" ht="15" customHeight="1" x14ac:dyDescent="0.3"/>
    <row r="144" spans="2:12" ht="15" customHeight="1" x14ac:dyDescent="0.3">
      <c r="B144" s="107" t="s">
        <v>446</v>
      </c>
      <c r="C144" s="107" t="s">
        <v>369</v>
      </c>
      <c r="D144" s="107" t="s">
        <v>369</v>
      </c>
      <c r="F144" s="107" t="s">
        <v>447</v>
      </c>
      <c r="G144" s="107" t="s">
        <v>370</v>
      </c>
      <c r="H144" s="107" t="s">
        <v>370</v>
      </c>
      <c r="J144" s="107" t="s">
        <v>448</v>
      </c>
      <c r="K144" s="107" t="s">
        <v>371</v>
      </c>
      <c r="L144" s="107" t="s">
        <v>371</v>
      </c>
    </row>
    <row r="145" spans="2:12" ht="15" customHeight="1" x14ac:dyDescent="0.3">
      <c r="B145" s="81" t="s">
        <v>198</v>
      </c>
      <c r="C145" s="81" t="s">
        <v>199</v>
      </c>
      <c r="D145" s="81" t="s">
        <v>200</v>
      </c>
      <c r="F145" s="81" t="s">
        <v>198</v>
      </c>
      <c r="G145" s="81" t="s">
        <v>199</v>
      </c>
      <c r="H145" s="81" t="s">
        <v>200</v>
      </c>
      <c r="J145" s="81" t="s">
        <v>198</v>
      </c>
      <c r="K145" s="81" t="s">
        <v>199</v>
      </c>
      <c r="L145" s="81" t="s">
        <v>200</v>
      </c>
    </row>
    <row r="146" spans="2:12" ht="15" customHeight="1" x14ac:dyDescent="0.3">
      <c r="B146" s="82" t="s">
        <v>372</v>
      </c>
      <c r="C146" s="82" t="s">
        <v>246</v>
      </c>
      <c r="D146" s="83">
        <v>8</v>
      </c>
      <c r="F146" s="82" t="s">
        <v>373</v>
      </c>
      <c r="G146" s="82" t="s">
        <v>246</v>
      </c>
      <c r="H146" s="83">
        <v>8</v>
      </c>
      <c r="J146" s="82" t="s">
        <v>374</v>
      </c>
      <c r="K146" s="82" t="s">
        <v>246</v>
      </c>
      <c r="L146" s="83">
        <v>8</v>
      </c>
    </row>
    <row r="147" spans="2:12" ht="15" customHeight="1" x14ac:dyDescent="0.3">
      <c r="B147" s="82" t="s">
        <v>359</v>
      </c>
      <c r="C147" s="82" t="s">
        <v>219</v>
      </c>
      <c r="D147" s="83">
        <v>4</v>
      </c>
      <c r="F147" s="82" t="s">
        <v>375</v>
      </c>
      <c r="G147" s="82" t="s">
        <v>246</v>
      </c>
      <c r="H147" s="83">
        <v>8</v>
      </c>
      <c r="J147" s="82" t="s">
        <v>359</v>
      </c>
      <c r="K147" s="82" t="s">
        <v>219</v>
      </c>
      <c r="L147" s="83">
        <v>4</v>
      </c>
    </row>
    <row r="148" spans="2:12" ht="15" customHeight="1" x14ac:dyDescent="0.3">
      <c r="B148" s="82" t="s">
        <v>278</v>
      </c>
      <c r="C148" s="82" t="s">
        <v>219</v>
      </c>
      <c r="D148" s="83">
        <v>4</v>
      </c>
      <c r="F148" s="82" t="s">
        <v>376</v>
      </c>
      <c r="G148" s="82" t="s">
        <v>246</v>
      </c>
      <c r="H148" s="83">
        <v>8</v>
      </c>
      <c r="J148" s="82" t="s">
        <v>372</v>
      </c>
      <c r="K148" s="82" t="s">
        <v>246</v>
      </c>
      <c r="L148" s="83">
        <v>8</v>
      </c>
    </row>
    <row r="149" spans="2:12" ht="15" customHeight="1" x14ac:dyDescent="0.3">
      <c r="B149" s="82" t="s">
        <v>377</v>
      </c>
      <c r="C149" s="82" t="s">
        <v>219</v>
      </c>
      <c r="D149" s="83">
        <v>4</v>
      </c>
      <c r="F149" s="82" t="s">
        <v>308</v>
      </c>
      <c r="G149" s="82" t="s">
        <v>294</v>
      </c>
      <c r="H149" s="83">
        <v>30</v>
      </c>
      <c r="J149" s="82" t="s">
        <v>378</v>
      </c>
      <c r="K149" s="82" t="s">
        <v>379</v>
      </c>
      <c r="L149" s="83">
        <v>25</v>
      </c>
    </row>
    <row r="150" spans="2:12" ht="15" customHeight="1" x14ac:dyDescent="0.3">
      <c r="B150" s="82" t="s">
        <v>380</v>
      </c>
      <c r="C150" s="82" t="s">
        <v>232</v>
      </c>
      <c r="D150" s="83">
        <v>8</v>
      </c>
      <c r="F150" s="82" t="s">
        <v>208</v>
      </c>
      <c r="G150" s="82" t="s">
        <v>309</v>
      </c>
      <c r="H150" s="83">
        <v>300</v>
      </c>
      <c r="J150" s="82" t="s">
        <v>256</v>
      </c>
      <c r="K150" s="82" t="s">
        <v>232</v>
      </c>
      <c r="L150" s="83">
        <v>8</v>
      </c>
    </row>
    <row r="151" spans="2:12" ht="15" customHeight="1" x14ac:dyDescent="0.3">
      <c r="B151" s="82" t="s">
        <v>381</v>
      </c>
      <c r="C151" s="82" t="s">
        <v>222</v>
      </c>
      <c r="D151" s="83">
        <v>20</v>
      </c>
      <c r="F151" s="82" t="s">
        <v>382</v>
      </c>
      <c r="G151" s="82" t="s">
        <v>211</v>
      </c>
      <c r="H151" s="83">
        <v>1</v>
      </c>
      <c r="J151" s="82" t="s">
        <v>217</v>
      </c>
      <c r="K151" s="82" t="s">
        <v>219</v>
      </c>
      <c r="L151" s="83">
        <v>4</v>
      </c>
    </row>
    <row r="152" spans="2:12" ht="15" customHeight="1" x14ac:dyDescent="0.3">
      <c r="B152" s="82" t="s">
        <v>383</v>
      </c>
      <c r="C152" s="82" t="s">
        <v>232</v>
      </c>
      <c r="D152" s="83">
        <v>8</v>
      </c>
      <c r="F152" s="82" t="s">
        <v>290</v>
      </c>
      <c r="G152" s="82" t="s">
        <v>219</v>
      </c>
      <c r="H152" s="83">
        <v>4</v>
      </c>
      <c r="J152" s="82" t="s">
        <v>384</v>
      </c>
      <c r="K152" s="82" t="s">
        <v>309</v>
      </c>
      <c r="L152" s="83">
        <v>300</v>
      </c>
    </row>
    <row r="153" spans="2:12" ht="15" customHeight="1" x14ac:dyDescent="0.3">
      <c r="B153" s="82" t="s">
        <v>385</v>
      </c>
      <c r="C153" s="82" t="s">
        <v>222</v>
      </c>
      <c r="D153" s="83">
        <v>20</v>
      </c>
      <c r="F153" s="82" t="s">
        <v>386</v>
      </c>
      <c r="G153" s="82" t="s">
        <v>232</v>
      </c>
      <c r="H153" s="83">
        <v>8</v>
      </c>
      <c r="J153" s="82" t="s">
        <v>312</v>
      </c>
      <c r="K153" s="82" t="s">
        <v>260</v>
      </c>
      <c r="L153" s="83">
        <v>16</v>
      </c>
    </row>
    <row r="154" spans="2:12" ht="15" customHeight="1" x14ac:dyDescent="0.3">
      <c r="B154" s="82" t="s">
        <v>228</v>
      </c>
      <c r="C154" s="82" t="s">
        <v>222</v>
      </c>
      <c r="D154" s="83">
        <v>20</v>
      </c>
      <c r="F154" s="82" t="s">
        <v>293</v>
      </c>
      <c r="G154" s="82" t="s">
        <v>219</v>
      </c>
      <c r="H154" s="83">
        <v>4</v>
      </c>
      <c r="K154" s="81" t="s">
        <v>49</v>
      </c>
      <c r="L154" s="84">
        <f>SUM(L146:L153)</f>
        <v>373</v>
      </c>
    </row>
    <row r="155" spans="2:12" ht="15" customHeight="1" x14ac:dyDescent="0.3">
      <c r="B155" s="82" t="s">
        <v>387</v>
      </c>
      <c r="C155" s="82" t="s">
        <v>268</v>
      </c>
      <c r="D155" s="83">
        <v>500</v>
      </c>
      <c r="F155" s="82" t="s">
        <v>388</v>
      </c>
      <c r="G155" s="82" t="s">
        <v>232</v>
      </c>
      <c r="H155" s="83">
        <v>8</v>
      </c>
    </row>
    <row r="156" spans="2:12" ht="15" customHeight="1" x14ac:dyDescent="0.3">
      <c r="B156" s="82" t="s">
        <v>312</v>
      </c>
      <c r="C156" s="82" t="s">
        <v>260</v>
      </c>
      <c r="D156" s="83">
        <v>16</v>
      </c>
      <c r="F156" s="82" t="s">
        <v>228</v>
      </c>
      <c r="G156" s="82" t="s">
        <v>222</v>
      </c>
      <c r="H156" s="83">
        <v>20</v>
      </c>
    </row>
    <row r="157" spans="2:12" ht="15" customHeight="1" x14ac:dyDescent="0.3">
      <c r="B157" s="82" t="s">
        <v>231</v>
      </c>
      <c r="C157" s="82" t="s">
        <v>232</v>
      </c>
      <c r="D157" s="83">
        <v>8</v>
      </c>
      <c r="F157" s="82" t="s">
        <v>312</v>
      </c>
      <c r="G157" s="82" t="s">
        <v>260</v>
      </c>
      <c r="H157" s="83">
        <v>16</v>
      </c>
    </row>
    <row r="158" spans="2:12" ht="15" customHeight="1" x14ac:dyDescent="0.3">
      <c r="B158" s="82" t="s">
        <v>314</v>
      </c>
      <c r="C158" s="82" t="s">
        <v>232</v>
      </c>
      <c r="D158" s="83">
        <v>8</v>
      </c>
      <c r="G158" s="81" t="s">
        <v>49</v>
      </c>
      <c r="H158" s="84">
        <f>SUM(H146:H157)</f>
        <v>415</v>
      </c>
    </row>
    <row r="159" spans="2:12" ht="15" customHeight="1" x14ac:dyDescent="0.3">
      <c r="C159" s="81" t="s">
        <v>49</v>
      </c>
      <c r="D159" s="84">
        <f>SUM(D146:D158)</f>
        <v>628</v>
      </c>
    </row>
    <row r="160" spans="2:12" ht="15" customHeight="1" x14ac:dyDescent="0.3"/>
    <row r="161" spans="2:12" ht="15" customHeight="1" x14ac:dyDescent="0.3">
      <c r="B161" s="107" t="s">
        <v>449</v>
      </c>
      <c r="C161" s="107" t="s">
        <v>389</v>
      </c>
      <c r="D161" s="107" t="s">
        <v>389</v>
      </c>
      <c r="F161" s="107" t="s">
        <v>450</v>
      </c>
      <c r="G161" s="107" t="s">
        <v>390</v>
      </c>
      <c r="H161" s="107" t="s">
        <v>390</v>
      </c>
      <c r="J161" s="107" t="s">
        <v>451</v>
      </c>
      <c r="K161" s="107" t="s">
        <v>391</v>
      </c>
      <c r="L161" s="107" t="s">
        <v>391</v>
      </c>
    </row>
    <row r="162" spans="2:12" ht="15" customHeight="1" x14ac:dyDescent="0.3">
      <c r="B162" s="81" t="s">
        <v>198</v>
      </c>
      <c r="C162" s="81" t="s">
        <v>199</v>
      </c>
      <c r="D162" s="81" t="s">
        <v>200</v>
      </c>
      <c r="F162" s="81" t="s">
        <v>198</v>
      </c>
      <c r="G162" s="81" t="s">
        <v>199</v>
      </c>
      <c r="H162" s="81" t="s">
        <v>200</v>
      </c>
      <c r="J162" s="81" t="s">
        <v>198</v>
      </c>
      <c r="K162" s="81" t="s">
        <v>199</v>
      </c>
      <c r="L162" s="81" t="s">
        <v>200</v>
      </c>
    </row>
    <row r="163" spans="2:12" ht="15" customHeight="1" x14ac:dyDescent="0.3">
      <c r="B163" s="82" t="s">
        <v>392</v>
      </c>
      <c r="C163" s="82" t="s">
        <v>202</v>
      </c>
      <c r="D163" s="83">
        <v>4</v>
      </c>
      <c r="F163" s="82" t="s">
        <v>393</v>
      </c>
      <c r="G163" s="82" t="s">
        <v>202</v>
      </c>
      <c r="H163" s="83">
        <v>4</v>
      </c>
      <c r="J163" s="82" t="s">
        <v>394</v>
      </c>
      <c r="K163" s="82" t="s">
        <v>202</v>
      </c>
      <c r="L163" s="83">
        <v>4</v>
      </c>
    </row>
    <row r="164" spans="2:12" ht="15" customHeight="1" x14ac:dyDescent="0.3">
      <c r="B164" s="82" t="s">
        <v>205</v>
      </c>
      <c r="C164" s="82" t="s">
        <v>220</v>
      </c>
      <c r="D164" s="83">
        <v>80</v>
      </c>
      <c r="F164" s="82" t="s">
        <v>392</v>
      </c>
      <c r="G164" s="82" t="s">
        <v>219</v>
      </c>
      <c r="H164" s="83">
        <v>4</v>
      </c>
      <c r="J164" s="82" t="s">
        <v>393</v>
      </c>
      <c r="K164" s="82" t="s">
        <v>219</v>
      </c>
      <c r="L164" s="83">
        <v>4</v>
      </c>
    </row>
    <row r="165" spans="2:12" ht="15" customHeight="1" x14ac:dyDescent="0.3">
      <c r="B165" s="82" t="s">
        <v>208</v>
      </c>
      <c r="C165" s="82" t="s">
        <v>360</v>
      </c>
      <c r="D165" s="83">
        <v>250</v>
      </c>
      <c r="F165" s="82" t="s">
        <v>205</v>
      </c>
      <c r="G165" s="82" t="s">
        <v>237</v>
      </c>
      <c r="H165" s="83">
        <v>100</v>
      </c>
      <c r="J165" s="82" t="s">
        <v>361</v>
      </c>
      <c r="K165" s="82" t="s">
        <v>294</v>
      </c>
      <c r="L165" s="83">
        <v>30</v>
      </c>
    </row>
    <row r="166" spans="2:12" ht="15" customHeight="1" x14ac:dyDescent="0.3">
      <c r="B166" s="82" t="s">
        <v>210</v>
      </c>
      <c r="C166" s="82" t="s">
        <v>211</v>
      </c>
      <c r="D166" s="83">
        <v>1</v>
      </c>
      <c r="F166" s="82" t="s">
        <v>208</v>
      </c>
      <c r="G166" s="82" t="s">
        <v>360</v>
      </c>
      <c r="H166" s="83">
        <v>250</v>
      </c>
      <c r="J166" s="82" t="s">
        <v>364</v>
      </c>
      <c r="K166" s="82" t="s">
        <v>206</v>
      </c>
      <c r="L166" s="83">
        <v>60</v>
      </c>
    </row>
    <row r="167" spans="2:12" ht="15" customHeight="1" x14ac:dyDescent="0.3">
      <c r="C167" s="81" t="s">
        <v>49</v>
      </c>
      <c r="D167" s="84">
        <f>SUM(D163:D166)</f>
        <v>335</v>
      </c>
      <c r="F167" s="82" t="s">
        <v>210</v>
      </c>
      <c r="G167" s="82" t="s">
        <v>211</v>
      </c>
      <c r="H167" s="83">
        <v>1</v>
      </c>
      <c r="J167" s="82" t="s">
        <v>395</v>
      </c>
      <c r="K167" s="82" t="s">
        <v>206</v>
      </c>
      <c r="L167" s="83">
        <v>60</v>
      </c>
    </row>
    <row r="168" spans="2:12" ht="15" customHeight="1" x14ac:dyDescent="0.3">
      <c r="G168" s="81" t="s">
        <v>49</v>
      </c>
      <c r="H168" s="84">
        <f>SUM(H163:H167)</f>
        <v>359</v>
      </c>
      <c r="J168" s="82" t="s">
        <v>396</v>
      </c>
      <c r="K168" s="82" t="s">
        <v>206</v>
      </c>
      <c r="L168" s="83">
        <v>60</v>
      </c>
    </row>
    <row r="169" spans="2:12" ht="15" customHeight="1" x14ac:dyDescent="0.3">
      <c r="J169" s="82" t="s">
        <v>367</v>
      </c>
      <c r="K169" s="82" t="s">
        <v>240</v>
      </c>
      <c r="L169" s="83">
        <v>4</v>
      </c>
    </row>
    <row r="170" spans="2:12" ht="15" customHeight="1" x14ac:dyDescent="0.3">
      <c r="J170" s="82" t="s">
        <v>228</v>
      </c>
      <c r="K170" s="82" t="s">
        <v>222</v>
      </c>
      <c r="L170" s="83">
        <v>20</v>
      </c>
    </row>
    <row r="171" spans="2:12" ht="15" customHeight="1" x14ac:dyDescent="0.3">
      <c r="J171" s="82" t="s">
        <v>368</v>
      </c>
      <c r="K171" s="82" t="s">
        <v>222</v>
      </c>
      <c r="L171" s="83">
        <v>20</v>
      </c>
    </row>
    <row r="172" spans="2:12" ht="15" customHeight="1" x14ac:dyDescent="0.3">
      <c r="K172" s="81" t="s">
        <v>49</v>
      </c>
      <c r="L172" s="84">
        <f>SUM(L163:L171)</f>
        <v>262</v>
      </c>
    </row>
    <row r="173" spans="2:12" ht="15" customHeight="1" x14ac:dyDescent="0.3"/>
    <row r="174" spans="2:12" ht="15" customHeight="1" x14ac:dyDescent="0.3">
      <c r="B174" s="107" t="s">
        <v>452</v>
      </c>
      <c r="C174" s="107" t="s">
        <v>397</v>
      </c>
      <c r="D174" s="107" t="s">
        <v>397</v>
      </c>
      <c r="F174" s="107" t="s">
        <v>453</v>
      </c>
      <c r="G174" s="107" t="s">
        <v>398</v>
      </c>
      <c r="H174" s="107" t="s">
        <v>398</v>
      </c>
    </row>
    <row r="175" spans="2:12" ht="15" customHeight="1" x14ac:dyDescent="0.3">
      <c r="B175" s="81" t="s">
        <v>198</v>
      </c>
      <c r="C175" s="81" t="s">
        <v>199</v>
      </c>
      <c r="D175" s="81" t="s">
        <v>200</v>
      </c>
      <c r="F175" s="81" t="s">
        <v>198</v>
      </c>
      <c r="G175" s="81" t="s">
        <v>199</v>
      </c>
      <c r="H175" s="81" t="s">
        <v>200</v>
      </c>
    </row>
    <row r="176" spans="2:12" ht="15" customHeight="1" x14ac:dyDescent="0.3">
      <c r="B176" s="82" t="s">
        <v>399</v>
      </c>
      <c r="C176" s="82" t="s">
        <v>246</v>
      </c>
      <c r="D176" s="83">
        <v>8</v>
      </c>
      <c r="F176" s="82" t="s">
        <v>400</v>
      </c>
      <c r="G176" s="82" t="s">
        <v>246</v>
      </c>
      <c r="H176" s="83">
        <v>8</v>
      </c>
    </row>
    <row r="177" spans="2:8" ht="15" customHeight="1" x14ac:dyDescent="0.3">
      <c r="B177" s="82" t="s">
        <v>394</v>
      </c>
      <c r="C177" s="82" t="s">
        <v>219</v>
      </c>
      <c r="D177" s="83">
        <v>4</v>
      </c>
      <c r="F177" s="82" t="s">
        <v>399</v>
      </c>
      <c r="G177" s="82" t="s">
        <v>246</v>
      </c>
      <c r="H177" s="83">
        <v>8</v>
      </c>
    </row>
    <row r="178" spans="2:8" ht="15" customHeight="1" x14ac:dyDescent="0.3">
      <c r="B178" s="82" t="s">
        <v>401</v>
      </c>
      <c r="C178" s="82" t="s">
        <v>219</v>
      </c>
      <c r="D178" s="83">
        <v>4</v>
      </c>
      <c r="F178" s="82" t="s">
        <v>336</v>
      </c>
      <c r="G178" s="82" t="s">
        <v>379</v>
      </c>
      <c r="H178" s="83">
        <v>25</v>
      </c>
    </row>
    <row r="179" spans="2:8" ht="15" customHeight="1" x14ac:dyDescent="0.3">
      <c r="B179" s="82" t="s">
        <v>377</v>
      </c>
      <c r="C179" s="82" t="s">
        <v>219</v>
      </c>
      <c r="D179" s="83">
        <v>4</v>
      </c>
      <c r="F179" s="82" t="s">
        <v>256</v>
      </c>
      <c r="G179" s="82" t="s">
        <v>232</v>
      </c>
      <c r="H179" s="83">
        <v>8</v>
      </c>
    </row>
    <row r="180" spans="2:8" ht="15" customHeight="1" x14ac:dyDescent="0.3">
      <c r="B180" s="82" t="s">
        <v>402</v>
      </c>
      <c r="C180" s="82" t="s">
        <v>232</v>
      </c>
      <c r="D180" s="83">
        <v>8</v>
      </c>
      <c r="F180" s="82" t="s">
        <v>208</v>
      </c>
      <c r="G180" s="82" t="s">
        <v>268</v>
      </c>
      <c r="H180" s="83">
        <v>500</v>
      </c>
    </row>
    <row r="181" spans="2:8" ht="15" customHeight="1" x14ac:dyDescent="0.3">
      <c r="B181" s="82" t="s">
        <v>381</v>
      </c>
      <c r="C181" s="82" t="s">
        <v>222</v>
      </c>
      <c r="D181" s="83">
        <v>20</v>
      </c>
      <c r="F181" s="82" t="s">
        <v>403</v>
      </c>
      <c r="G181" s="82" t="s">
        <v>268</v>
      </c>
      <c r="H181" s="83">
        <v>500</v>
      </c>
    </row>
    <row r="182" spans="2:8" ht="15" customHeight="1" x14ac:dyDescent="0.3">
      <c r="B182" s="82" t="s">
        <v>404</v>
      </c>
      <c r="C182" s="82" t="s">
        <v>232</v>
      </c>
      <c r="D182" s="83">
        <v>8</v>
      </c>
      <c r="F182" s="82" t="s">
        <v>405</v>
      </c>
      <c r="G182" s="82" t="s">
        <v>306</v>
      </c>
      <c r="H182" s="83">
        <v>14</v>
      </c>
    </row>
    <row r="183" spans="2:8" ht="15" customHeight="1" x14ac:dyDescent="0.3">
      <c r="B183" s="82" t="s">
        <v>385</v>
      </c>
      <c r="C183" s="82" t="s">
        <v>222</v>
      </c>
      <c r="D183" s="83">
        <v>20</v>
      </c>
      <c r="F183" s="82" t="s">
        <v>310</v>
      </c>
      <c r="G183" s="82" t="s">
        <v>219</v>
      </c>
      <c r="H183" s="83">
        <v>4</v>
      </c>
    </row>
    <row r="184" spans="2:8" ht="15" customHeight="1" x14ac:dyDescent="0.3">
      <c r="B184" s="82" t="s">
        <v>228</v>
      </c>
      <c r="C184" s="82" t="s">
        <v>222</v>
      </c>
      <c r="D184" s="83">
        <v>20</v>
      </c>
      <c r="F184" s="82" t="s">
        <v>312</v>
      </c>
      <c r="G184" s="82" t="s">
        <v>260</v>
      </c>
      <c r="H184" s="83">
        <v>16</v>
      </c>
    </row>
    <row r="185" spans="2:8" ht="15" customHeight="1" x14ac:dyDescent="0.3">
      <c r="B185" s="82" t="s">
        <v>312</v>
      </c>
      <c r="C185" s="82" t="s">
        <v>260</v>
      </c>
      <c r="D185" s="83">
        <v>16</v>
      </c>
      <c r="G185" s="81" t="s">
        <v>49</v>
      </c>
      <c r="H185" s="84">
        <f>SUM(H176:H184)</f>
        <v>1083</v>
      </c>
    </row>
    <row r="186" spans="2:8" ht="15" customHeight="1" x14ac:dyDescent="0.3">
      <c r="B186" s="82" t="s">
        <v>231</v>
      </c>
      <c r="C186" s="82" t="s">
        <v>232</v>
      </c>
      <c r="D186" s="83">
        <v>8</v>
      </c>
    </row>
    <row r="187" spans="2:8" ht="15" customHeight="1" x14ac:dyDescent="0.3">
      <c r="B187" s="82" t="s">
        <v>314</v>
      </c>
      <c r="C187" s="82" t="s">
        <v>232</v>
      </c>
      <c r="D187" s="83">
        <v>8</v>
      </c>
    </row>
    <row r="188" spans="2:8" ht="15" customHeight="1" x14ac:dyDescent="0.3">
      <c r="C188" s="81" t="s">
        <v>49</v>
      </c>
      <c r="D188" s="84">
        <f>SUM(D176:D187)</f>
        <v>128</v>
      </c>
    </row>
    <row r="189" spans="2:8" ht="15" customHeight="1" x14ac:dyDescent="0.3"/>
    <row r="190" spans="2:8" ht="15" customHeight="1" x14ac:dyDescent="0.3">
      <c r="B190" s="108" t="s">
        <v>31</v>
      </c>
      <c r="C190" s="108" t="s">
        <v>31</v>
      </c>
      <c r="D190" s="108" t="s">
        <v>31</v>
      </c>
      <c r="E190" s="108" t="s">
        <v>31</v>
      </c>
      <c r="F190" s="108" t="s">
        <v>31</v>
      </c>
      <c r="G190" s="108" t="s">
        <v>31</v>
      </c>
    </row>
    <row r="191" spans="2:8" ht="31.95" customHeight="1" x14ac:dyDescent="0.3">
      <c r="B191" s="85" t="s">
        <v>406</v>
      </c>
      <c r="C191" s="85" t="s">
        <v>407</v>
      </c>
      <c r="D191" s="85" t="s">
        <v>408</v>
      </c>
      <c r="E191" s="85" t="s">
        <v>409</v>
      </c>
      <c r="F191" s="85" t="s">
        <v>410</v>
      </c>
      <c r="G191" s="85" t="s">
        <v>411</v>
      </c>
    </row>
    <row r="192" spans="2:8" ht="15" customHeight="1" x14ac:dyDescent="0.3">
      <c r="B192" s="86">
        <v>1</v>
      </c>
      <c r="C192" s="87" t="str">
        <f>B6</f>
        <v>cargos</v>
      </c>
      <c r="D192" s="86">
        <f>D12</f>
        <v>265</v>
      </c>
      <c r="E192" s="86">
        <f>COUNTA(B8:B11)</f>
        <v>4</v>
      </c>
      <c r="F192" s="86">
        <v>10</v>
      </c>
      <c r="G192" s="86">
        <f t="shared" ref="G192:G229" si="1">E192+(D192*F192)</f>
        <v>2654</v>
      </c>
    </row>
    <row r="193" spans="2:7" ht="15" customHeight="1" x14ac:dyDescent="0.3">
      <c r="B193" s="86">
        <v>2</v>
      </c>
      <c r="C193" s="87" t="str">
        <f>F6</f>
        <v>especialidades</v>
      </c>
      <c r="D193" s="86">
        <f>H12</f>
        <v>265</v>
      </c>
      <c r="E193" s="86">
        <f>COUNTA(F8:F11)</f>
        <v>4</v>
      </c>
      <c r="F193" s="86">
        <v>12</v>
      </c>
      <c r="G193" s="86">
        <f t="shared" si="1"/>
        <v>3184</v>
      </c>
    </row>
    <row r="194" spans="2:7" ht="15" customHeight="1" x14ac:dyDescent="0.3">
      <c r="B194" s="86">
        <v>3</v>
      </c>
      <c r="C194" s="87" t="str">
        <f>J6</f>
        <v>roles</v>
      </c>
      <c r="D194" s="86">
        <f>L12</f>
        <v>255</v>
      </c>
      <c r="E194" s="86">
        <f>COUNTA(J8:J11)</f>
        <v>4</v>
      </c>
      <c r="F194" s="86">
        <v>6</v>
      </c>
      <c r="G194" s="86">
        <f t="shared" si="1"/>
        <v>1534</v>
      </c>
    </row>
    <row r="195" spans="2:7" ht="15" customHeight="1" x14ac:dyDescent="0.3">
      <c r="B195" s="86">
        <v>4</v>
      </c>
      <c r="C195" s="87" t="str">
        <f>B14</f>
        <v>permisos</v>
      </c>
      <c r="D195" s="86">
        <f>D21</f>
        <v>345</v>
      </c>
      <c r="E195" s="86">
        <f>COUNTA(B16:B20)</f>
        <v>5</v>
      </c>
      <c r="F195" s="86">
        <v>30</v>
      </c>
      <c r="G195" s="86">
        <f t="shared" si="1"/>
        <v>10355</v>
      </c>
    </row>
    <row r="196" spans="2:7" ht="15" customHeight="1" x14ac:dyDescent="0.3">
      <c r="B196" s="86">
        <v>5</v>
      </c>
      <c r="C196" s="87" t="str">
        <f>F14</f>
        <v>trabajadores</v>
      </c>
      <c r="D196" s="86">
        <f>H28</f>
        <v>567</v>
      </c>
      <c r="E196" s="86">
        <f>COUNTA(F16:F27)</f>
        <v>12</v>
      </c>
      <c r="F196" s="86">
        <v>75</v>
      </c>
      <c r="G196" s="86">
        <f t="shared" si="1"/>
        <v>42537</v>
      </c>
    </row>
    <row r="197" spans="2:7" ht="15" customHeight="1" x14ac:dyDescent="0.3">
      <c r="B197" s="86">
        <v>6</v>
      </c>
      <c r="C197" s="87" t="str">
        <f>J14</f>
        <v>usuarios</v>
      </c>
      <c r="D197" s="86">
        <f>L23</f>
        <v>354</v>
      </c>
      <c r="E197" s="86">
        <f>COUNTA(J16:J22)</f>
        <v>7</v>
      </c>
      <c r="F197" s="86">
        <v>12</v>
      </c>
      <c r="G197" s="86">
        <f t="shared" si="1"/>
        <v>4255</v>
      </c>
    </row>
    <row r="198" spans="2:7" ht="15" customHeight="1" x14ac:dyDescent="0.3">
      <c r="B198" s="86">
        <v>7</v>
      </c>
      <c r="C198" s="87" t="str">
        <f>B30</f>
        <v>usuarios_rol</v>
      </c>
      <c r="D198" s="86">
        <f>D37</f>
        <v>20</v>
      </c>
      <c r="E198" s="86">
        <f>COUNTA(B32:B36)</f>
        <v>5</v>
      </c>
      <c r="F198" s="86">
        <v>15</v>
      </c>
      <c r="G198" s="86">
        <f t="shared" si="1"/>
        <v>305</v>
      </c>
    </row>
    <row r="199" spans="2:7" ht="15" customHeight="1" x14ac:dyDescent="0.3">
      <c r="B199" s="86">
        <v>8</v>
      </c>
      <c r="C199" s="87" t="str">
        <f>F30</f>
        <v>roles_permiso</v>
      </c>
      <c r="D199" s="86">
        <f>H34</f>
        <v>8</v>
      </c>
      <c r="E199" s="86">
        <f>COUNTA(F32:F33)</f>
        <v>2</v>
      </c>
      <c r="F199" s="86">
        <v>60</v>
      </c>
      <c r="G199" s="86">
        <f t="shared" si="1"/>
        <v>482</v>
      </c>
    </row>
    <row r="200" spans="2:7" ht="15" customHeight="1" x14ac:dyDescent="0.3">
      <c r="B200" s="86">
        <v>9</v>
      </c>
      <c r="C200" s="87" t="str">
        <f>J30</f>
        <v>auditorias</v>
      </c>
      <c r="D200" s="86">
        <f>L43</f>
        <v>2245</v>
      </c>
      <c r="E200" s="86">
        <f>COUNTA(J32:J42)</f>
        <v>11</v>
      </c>
      <c r="F200" s="86">
        <v>25000</v>
      </c>
      <c r="G200" s="86">
        <f t="shared" si="1"/>
        <v>56125011</v>
      </c>
    </row>
    <row r="201" spans="2:7" ht="15" customHeight="1" x14ac:dyDescent="0.3">
      <c r="B201" s="86">
        <v>10</v>
      </c>
      <c r="C201" s="87" t="str">
        <f>B45</f>
        <v>obras</v>
      </c>
      <c r="D201" s="86">
        <f>D58</f>
        <v>888</v>
      </c>
      <c r="E201" s="86">
        <f>COUNTA(B47:B57)</f>
        <v>11</v>
      </c>
      <c r="F201" s="86">
        <v>6</v>
      </c>
      <c r="G201" s="86">
        <f t="shared" si="1"/>
        <v>5339</v>
      </c>
    </row>
    <row r="202" spans="2:7" ht="15" customHeight="1" x14ac:dyDescent="0.3">
      <c r="B202" s="86">
        <v>11</v>
      </c>
      <c r="C202" s="87" t="str">
        <f>F45</f>
        <v>cuadrillas</v>
      </c>
      <c r="D202" s="86">
        <f>H52</f>
        <v>305</v>
      </c>
      <c r="E202" s="86">
        <f>COUNTA(F47:F51)</f>
        <v>5</v>
      </c>
      <c r="F202" s="86">
        <v>10</v>
      </c>
      <c r="G202" s="86">
        <f t="shared" si="1"/>
        <v>3055</v>
      </c>
    </row>
    <row r="203" spans="2:7" ht="15" customHeight="1" x14ac:dyDescent="0.3">
      <c r="B203" s="86">
        <v>12</v>
      </c>
      <c r="C203" s="87" t="str">
        <f>J45</f>
        <v>trabajadores_especialidad</v>
      </c>
      <c r="D203" s="86">
        <f>L52</f>
        <v>36</v>
      </c>
      <c r="E203" s="86">
        <f>COUNTA(J47:J51)</f>
        <v>5</v>
      </c>
      <c r="F203" s="86">
        <v>100</v>
      </c>
      <c r="G203" s="86">
        <f t="shared" si="1"/>
        <v>3605</v>
      </c>
    </row>
    <row r="204" spans="2:7" ht="15" customHeight="1" x14ac:dyDescent="0.3">
      <c r="B204" s="86">
        <v>13</v>
      </c>
      <c r="C204" s="87" t="str">
        <f>B60</f>
        <v>asignaciones_trabajador_obra</v>
      </c>
      <c r="D204" s="86">
        <f>D71</f>
        <v>60</v>
      </c>
      <c r="E204" s="86">
        <f>COUNTA(B62:B70)</f>
        <v>9</v>
      </c>
      <c r="F204" s="86">
        <v>120</v>
      </c>
      <c r="G204" s="86">
        <f t="shared" si="1"/>
        <v>7209</v>
      </c>
    </row>
    <row r="205" spans="2:7" ht="15" customHeight="1" x14ac:dyDescent="0.3">
      <c r="B205" s="86">
        <v>14</v>
      </c>
      <c r="C205" s="87" t="str">
        <f>F60</f>
        <v>cuadrillas_obra</v>
      </c>
      <c r="D205" s="86">
        <f>H68</f>
        <v>35</v>
      </c>
      <c r="E205" s="86">
        <f>COUNTA(F62:F67)</f>
        <v>6</v>
      </c>
      <c r="F205" s="86">
        <v>18</v>
      </c>
      <c r="G205" s="86">
        <f t="shared" si="1"/>
        <v>636</v>
      </c>
    </row>
    <row r="206" spans="2:7" ht="15" customHeight="1" x14ac:dyDescent="0.3">
      <c r="B206" s="86">
        <v>15</v>
      </c>
      <c r="C206" s="87" t="str">
        <f>J60</f>
        <v>trabajadores_cuadrilla</v>
      </c>
      <c r="D206" s="86">
        <f>L67</f>
        <v>20</v>
      </c>
      <c r="E206" s="86">
        <f>COUNTA(J62:J66)</f>
        <v>5</v>
      </c>
      <c r="F206" s="86">
        <v>120</v>
      </c>
      <c r="G206" s="86">
        <f t="shared" si="1"/>
        <v>2405</v>
      </c>
    </row>
    <row r="207" spans="2:7" ht="15" customHeight="1" x14ac:dyDescent="0.3">
      <c r="B207" s="86">
        <v>16</v>
      </c>
      <c r="C207" s="87" t="str">
        <f>B73</f>
        <v>asistencias</v>
      </c>
      <c r="D207" s="86">
        <f>D89</f>
        <v>139</v>
      </c>
      <c r="E207" s="86">
        <f>COUNTA(B75:B88)</f>
        <v>14</v>
      </c>
      <c r="F207" s="86">
        <v>18000</v>
      </c>
      <c r="G207" s="86">
        <f t="shared" si="1"/>
        <v>2502014</v>
      </c>
    </row>
    <row r="208" spans="2:7" ht="15" customHeight="1" x14ac:dyDescent="0.3">
      <c r="B208" s="86">
        <v>17</v>
      </c>
      <c r="C208" s="87" t="str">
        <f>F73</f>
        <v>correcciones_asistencia</v>
      </c>
      <c r="D208" s="86">
        <f>H87</f>
        <v>387</v>
      </c>
      <c r="E208" s="86">
        <f>COUNTA(F75:F86)</f>
        <v>12</v>
      </c>
      <c r="F208" s="86">
        <v>360</v>
      </c>
      <c r="G208" s="86">
        <f t="shared" si="1"/>
        <v>139332</v>
      </c>
    </row>
    <row r="209" spans="2:7" ht="15" customHeight="1" x14ac:dyDescent="0.3">
      <c r="B209" s="86">
        <v>18</v>
      </c>
      <c r="C209" s="87" t="str">
        <f>J73</f>
        <v>actividades</v>
      </c>
      <c r="D209" s="86">
        <f>L86</f>
        <v>724</v>
      </c>
      <c r="E209" s="86">
        <f>COUNTA(J75:J85)</f>
        <v>11</v>
      </c>
      <c r="F209" s="86">
        <v>300</v>
      </c>
      <c r="G209" s="86">
        <f t="shared" si="1"/>
        <v>217211</v>
      </c>
    </row>
    <row r="210" spans="2:7" ht="15" customHeight="1" x14ac:dyDescent="0.3">
      <c r="B210" s="86">
        <v>19</v>
      </c>
      <c r="C210" s="87" t="str">
        <f>B91</f>
        <v>trabajadores_actividad</v>
      </c>
      <c r="D210" s="86">
        <f>D96</f>
        <v>58</v>
      </c>
      <c r="E210" s="86">
        <f>COUNTA(B93:B95)</f>
        <v>3</v>
      </c>
      <c r="F210" s="86">
        <v>1800</v>
      </c>
      <c r="G210" s="86">
        <f t="shared" si="1"/>
        <v>104403</v>
      </c>
    </row>
    <row r="211" spans="2:7" ht="15" customHeight="1" x14ac:dyDescent="0.3">
      <c r="B211" s="86">
        <v>20</v>
      </c>
      <c r="C211" s="87" t="str">
        <f>F91</f>
        <v>avances</v>
      </c>
      <c r="D211" s="86">
        <f>H103</f>
        <v>586</v>
      </c>
      <c r="E211" s="86">
        <f>COUNTA(F93:F102)</f>
        <v>10</v>
      </c>
      <c r="F211" s="86">
        <v>6000</v>
      </c>
      <c r="G211" s="86">
        <f t="shared" si="1"/>
        <v>3516010</v>
      </c>
    </row>
    <row r="212" spans="2:7" ht="15" customHeight="1" x14ac:dyDescent="0.3">
      <c r="B212" s="86">
        <v>21</v>
      </c>
      <c r="C212" s="87" t="str">
        <f>J91</f>
        <v>evidencias</v>
      </c>
      <c r="D212" s="86">
        <f>L105</f>
        <v>672</v>
      </c>
      <c r="E212" s="86">
        <f>COUNTA(J93:J104)</f>
        <v>12</v>
      </c>
      <c r="F212" s="86">
        <v>12000</v>
      </c>
      <c r="G212" s="86">
        <f t="shared" si="1"/>
        <v>8064012</v>
      </c>
    </row>
    <row r="213" spans="2:7" ht="15" customHeight="1" x14ac:dyDescent="0.3">
      <c r="B213" s="86">
        <v>22</v>
      </c>
      <c r="C213" s="87" t="str">
        <f>B107</f>
        <v>incidencias</v>
      </c>
      <c r="D213" s="86">
        <f>D122</f>
        <v>1126</v>
      </c>
      <c r="E213" s="86">
        <f>COUNTA(B109:B121)</f>
        <v>13</v>
      </c>
      <c r="F213" s="86">
        <v>360</v>
      </c>
      <c r="G213" s="86">
        <f t="shared" si="1"/>
        <v>405373</v>
      </c>
    </row>
    <row r="214" spans="2:7" ht="15" customHeight="1" x14ac:dyDescent="0.3">
      <c r="B214" s="86">
        <v>23</v>
      </c>
      <c r="C214" s="87" t="str">
        <f>F107</f>
        <v>actividades_incidencia</v>
      </c>
      <c r="D214" s="86">
        <f>H111</f>
        <v>12</v>
      </c>
      <c r="E214" s="86">
        <f>COUNTA(F109:F110)</f>
        <v>2</v>
      </c>
      <c r="F214" s="86">
        <v>600</v>
      </c>
      <c r="G214" s="86">
        <f t="shared" si="1"/>
        <v>7202</v>
      </c>
    </row>
    <row r="215" spans="2:7" ht="15" customHeight="1" x14ac:dyDescent="0.3">
      <c r="B215" s="86">
        <v>24</v>
      </c>
      <c r="C215" s="87" t="str">
        <f>J107</f>
        <v>actas</v>
      </c>
      <c r="D215" s="86">
        <f>L121</f>
        <v>2094</v>
      </c>
      <c r="E215" s="86">
        <f>COUNTA(J109:J120)</f>
        <v>12</v>
      </c>
      <c r="F215" s="86">
        <v>312</v>
      </c>
      <c r="G215" s="86">
        <f t="shared" si="1"/>
        <v>653340</v>
      </c>
    </row>
    <row r="216" spans="2:7" ht="15" customHeight="1" x14ac:dyDescent="0.3">
      <c r="B216" s="86">
        <v>25</v>
      </c>
      <c r="C216" s="87" t="str">
        <f>B124</f>
        <v>actas_avance</v>
      </c>
      <c r="D216" s="86">
        <f>D128</f>
        <v>12</v>
      </c>
      <c r="E216" s="86">
        <f>COUNTA(B126:B127)</f>
        <v>2</v>
      </c>
      <c r="F216" s="86">
        <v>6000</v>
      </c>
      <c r="G216" s="86">
        <f t="shared" si="1"/>
        <v>72002</v>
      </c>
    </row>
    <row r="217" spans="2:7" ht="15" customHeight="1" x14ac:dyDescent="0.3">
      <c r="B217" s="86">
        <v>26</v>
      </c>
      <c r="C217" s="87" t="str">
        <f>F124</f>
        <v>actas_incidencia</v>
      </c>
      <c r="D217" s="86">
        <f>H128</f>
        <v>12</v>
      </c>
      <c r="E217" s="86">
        <f>COUNTA(F126:F127)</f>
        <v>2</v>
      </c>
      <c r="F217" s="86">
        <v>360</v>
      </c>
      <c r="G217" s="86">
        <f t="shared" si="1"/>
        <v>4322</v>
      </c>
    </row>
    <row r="218" spans="2:7" ht="15" customHeight="1" x14ac:dyDescent="0.3">
      <c r="B218" s="86">
        <v>27</v>
      </c>
      <c r="C218" s="87" t="str">
        <f>J124</f>
        <v>trabajadores_acta</v>
      </c>
      <c r="D218" s="86">
        <f>L131</f>
        <v>546</v>
      </c>
      <c r="E218" s="86">
        <f>COUNTA(J126:J130)</f>
        <v>5</v>
      </c>
      <c r="F218" s="86">
        <v>1800</v>
      </c>
      <c r="G218" s="86">
        <f t="shared" si="1"/>
        <v>982805</v>
      </c>
    </row>
    <row r="219" spans="2:7" ht="15" customHeight="1" x14ac:dyDescent="0.3">
      <c r="B219" s="86">
        <v>28</v>
      </c>
      <c r="C219" s="87" t="str">
        <f>B133</f>
        <v>aprobaciones_acta</v>
      </c>
      <c r="D219" s="86">
        <f>D141</f>
        <v>535</v>
      </c>
      <c r="E219" s="86">
        <f>COUNTA(B135:B140)</f>
        <v>6</v>
      </c>
      <c r="F219" s="86">
        <v>312</v>
      </c>
      <c r="G219" s="86">
        <f t="shared" si="1"/>
        <v>166926</v>
      </c>
    </row>
    <row r="220" spans="2:7" ht="15" customHeight="1" x14ac:dyDescent="0.3">
      <c r="B220" s="86">
        <v>29</v>
      </c>
      <c r="C220" s="87" t="str">
        <f>F133</f>
        <v>tipos_epp</v>
      </c>
      <c r="D220" s="86">
        <f>H141</f>
        <v>343</v>
      </c>
      <c r="E220" s="86">
        <f>COUNTA(F135:F140)</f>
        <v>6</v>
      </c>
      <c r="F220" s="86">
        <v>15</v>
      </c>
      <c r="G220" s="86">
        <f t="shared" si="1"/>
        <v>5151</v>
      </c>
    </row>
    <row r="221" spans="2:7" ht="15" customHeight="1" x14ac:dyDescent="0.3">
      <c r="B221" s="86">
        <v>30</v>
      </c>
      <c r="C221" s="87" t="str">
        <f>J133</f>
        <v>epps</v>
      </c>
      <c r="D221" s="86">
        <f>L142</f>
        <v>142</v>
      </c>
      <c r="E221" s="86">
        <f>COUNTA(J135:J141)</f>
        <v>7</v>
      </c>
      <c r="F221" s="86">
        <v>300</v>
      </c>
      <c r="G221" s="86">
        <f t="shared" si="1"/>
        <v>42607</v>
      </c>
    </row>
    <row r="222" spans="2:7" ht="15" customHeight="1" x14ac:dyDescent="0.3">
      <c r="B222" s="86">
        <v>31</v>
      </c>
      <c r="C222" s="87" t="str">
        <f>B144</f>
        <v>entregas_epp</v>
      </c>
      <c r="D222" s="86">
        <f>D159</f>
        <v>628</v>
      </c>
      <c r="E222" s="86">
        <f>COUNTA(B146:B158)</f>
        <v>13</v>
      </c>
      <c r="F222" s="86">
        <v>900</v>
      </c>
      <c r="G222" s="86">
        <f t="shared" si="1"/>
        <v>565213</v>
      </c>
    </row>
    <row r="223" spans="2:7" ht="15" customHeight="1" x14ac:dyDescent="0.3">
      <c r="B223" s="86">
        <v>32</v>
      </c>
      <c r="C223" s="87" t="str">
        <f>F144</f>
        <v>reposiciones_epp</v>
      </c>
      <c r="D223" s="86">
        <f>H158</f>
        <v>415</v>
      </c>
      <c r="E223" s="86">
        <f>COUNTA(F146:F157)</f>
        <v>12</v>
      </c>
      <c r="F223" s="86">
        <v>180</v>
      </c>
      <c r="G223" s="86">
        <f t="shared" si="1"/>
        <v>74712</v>
      </c>
    </row>
    <row r="224" spans="2:7" ht="15" customHeight="1" x14ac:dyDescent="0.3">
      <c r="B224" s="86">
        <v>33</v>
      </c>
      <c r="C224" s="87" t="str">
        <f>J144</f>
        <v>movimientos_stock_epp</v>
      </c>
      <c r="D224" s="86">
        <f>L154</f>
        <v>373</v>
      </c>
      <c r="E224" s="86">
        <f>COUNTA(J146:J153)</f>
        <v>8</v>
      </c>
      <c r="F224" s="86">
        <v>1500</v>
      </c>
      <c r="G224" s="86">
        <f t="shared" si="1"/>
        <v>559508</v>
      </c>
    </row>
    <row r="225" spans="2:7" ht="15" customHeight="1" x14ac:dyDescent="0.3">
      <c r="B225" s="86">
        <v>34</v>
      </c>
      <c r="C225" s="87" t="str">
        <f>B161</f>
        <v>categorias_herramienta</v>
      </c>
      <c r="D225" s="86">
        <f>D167</f>
        <v>335</v>
      </c>
      <c r="E225" s="86">
        <f>COUNTA(B163:B166)</f>
        <v>4</v>
      </c>
      <c r="F225" s="86">
        <v>10</v>
      </c>
      <c r="G225" s="86">
        <f t="shared" si="1"/>
        <v>3354</v>
      </c>
    </row>
    <row r="226" spans="2:7" ht="15" customHeight="1" x14ac:dyDescent="0.3">
      <c r="B226" s="86">
        <v>35</v>
      </c>
      <c r="C226" s="87" t="str">
        <f>F161</f>
        <v>tipos_herramienta</v>
      </c>
      <c r="D226" s="86">
        <f>H168</f>
        <v>359</v>
      </c>
      <c r="E226" s="86">
        <f>COUNTA(F163:F167)</f>
        <v>5</v>
      </c>
      <c r="F226" s="86">
        <v>40</v>
      </c>
      <c r="G226" s="86">
        <f t="shared" si="1"/>
        <v>14365</v>
      </c>
    </row>
    <row r="227" spans="2:7" ht="15" customHeight="1" x14ac:dyDescent="0.3">
      <c r="B227" s="86">
        <v>36</v>
      </c>
      <c r="C227" s="87" t="str">
        <f>J161</f>
        <v>herramientas</v>
      </c>
      <c r="D227" s="86">
        <f>L172</f>
        <v>262</v>
      </c>
      <c r="E227" s="86">
        <f>COUNTA(J163:J171)</f>
        <v>9</v>
      </c>
      <c r="F227" s="86">
        <v>250</v>
      </c>
      <c r="G227" s="86">
        <f t="shared" si="1"/>
        <v>65509</v>
      </c>
    </row>
    <row r="228" spans="2:7" ht="15" customHeight="1" x14ac:dyDescent="0.3">
      <c r="B228" s="86">
        <v>37</v>
      </c>
      <c r="C228" s="87" t="str">
        <f>B174</f>
        <v>asignaciones_herramienta</v>
      </c>
      <c r="D228" s="86">
        <f>D188</f>
        <v>128</v>
      </c>
      <c r="E228" s="86">
        <f>COUNTA(B176:B187)</f>
        <v>12</v>
      </c>
      <c r="F228" s="86">
        <v>1200</v>
      </c>
      <c r="G228" s="86">
        <f t="shared" si="1"/>
        <v>153612</v>
      </c>
    </row>
    <row r="229" spans="2:7" ht="15" customHeight="1" x14ac:dyDescent="0.3">
      <c r="B229" s="86">
        <v>38</v>
      </c>
      <c r="C229" s="87" t="str">
        <f>F174</f>
        <v>incidencias_herramienta</v>
      </c>
      <c r="D229" s="86">
        <f>H185</f>
        <v>1083</v>
      </c>
      <c r="E229" s="86">
        <f>COUNTA(F176:F184)</f>
        <v>9</v>
      </c>
      <c r="F229" s="86">
        <v>180</v>
      </c>
      <c r="G229" s="86">
        <f t="shared" si="1"/>
        <v>194949</v>
      </c>
    </row>
    <row r="230" spans="2:7" ht="15" customHeight="1" x14ac:dyDescent="0.3">
      <c r="F230" s="81" t="s">
        <v>412</v>
      </c>
      <c r="G230" s="84">
        <f>SUM(G192:G229)</f>
        <v>74726498</v>
      </c>
    </row>
    <row r="231" spans="2:7" ht="15" customHeight="1" x14ac:dyDescent="0.3"/>
    <row r="232" spans="2:7" ht="15" customHeight="1" x14ac:dyDescent="0.3">
      <c r="D232" s="88" t="s">
        <v>413</v>
      </c>
      <c r="E232" s="89">
        <f>G230/1024</f>
        <v>72975.095703125</v>
      </c>
    </row>
    <row r="233" spans="2:7" ht="15" customHeight="1" x14ac:dyDescent="0.3">
      <c r="D233" s="88" t="s">
        <v>414</v>
      </c>
      <c r="E233" s="89">
        <f>C2</f>
        <v>8192</v>
      </c>
    </row>
    <row r="234" spans="2:7" ht="15" customHeight="1" x14ac:dyDescent="0.3">
      <c r="D234" s="88" t="s">
        <v>415</v>
      </c>
      <c r="E234" s="89">
        <f>SUM(E232:E233)</f>
        <v>81167.095703125</v>
      </c>
    </row>
    <row r="235" spans="2:7" ht="15" customHeight="1" x14ac:dyDescent="0.3"/>
    <row r="236" spans="2:7" ht="15" customHeight="1" x14ac:dyDescent="0.3">
      <c r="D236" s="88" t="s">
        <v>416</v>
      </c>
      <c r="E236" s="93">
        <f>E234/'3. Punto de Función'!C15</f>
        <v>4599.5570680061219</v>
      </c>
    </row>
    <row r="237" spans="2:7" ht="15" customHeight="1" x14ac:dyDescent="0.3"/>
    <row r="238" spans="2:7" ht="15" customHeight="1" x14ac:dyDescent="0.3"/>
    <row r="239" spans="2:7" ht="15" customHeight="1" x14ac:dyDescent="0.3"/>
    <row r="240" spans="2:7" ht="15" customHeight="1" x14ac:dyDescent="0.3"/>
  </sheetData>
  <mergeCells count="39">
    <mergeCell ref="B6:D6"/>
    <mergeCell ref="F6:H6"/>
    <mergeCell ref="J6:L6"/>
    <mergeCell ref="B14:D14"/>
    <mergeCell ref="F14:H14"/>
    <mergeCell ref="J14:L14"/>
    <mergeCell ref="B30:D30"/>
    <mergeCell ref="F30:H30"/>
    <mergeCell ref="J30:L30"/>
    <mergeCell ref="B45:D45"/>
    <mergeCell ref="F45:H45"/>
    <mergeCell ref="J45:L45"/>
    <mergeCell ref="B60:D60"/>
    <mergeCell ref="F60:H60"/>
    <mergeCell ref="J60:L60"/>
    <mergeCell ref="B73:D73"/>
    <mergeCell ref="F73:H73"/>
    <mergeCell ref="J73:L73"/>
    <mergeCell ref="B91:D91"/>
    <mergeCell ref="F91:H91"/>
    <mergeCell ref="J91:L91"/>
    <mergeCell ref="B107:D107"/>
    <mergeCell ref="F107:H107"/>
    <mergeCell ref="J107:L107"/>
    <mergeCell ref="J144:L144"/>
    <mergeCell ref="B161:D161"/>
    <mergeCell ref="F161:H161"/>
    <mergeCell ref="J161:L161"/>
    <mergeCell ref="B124:D124"/>
    <mergeCell ref="F124:H124"/>
    <mergeCell ref="J124:L124"/>
    <mergeCell ref="B133:D133"/>
    <mergeCell ref="F133:H133"/>
    <mergeCell ref="J133:L133"/>
    <mergeCell ref="B174:D174"/>
    <mergeCell ref="F174:H174"/>
    <mergeCell ref="B190:G190"/>
    <mergeCell ref="B144:D144"/>
    <mergeCell ref="F144:H1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S39"/>
  <sheetViews>
    <sheetView showGridLines="0" topLeftCell="A3" zoomScale="88" workbookViewId="0">
      <selection activeCell="C27" sqref="C27"/>
    </sheetView>
  </sheetViews>
  <sheetFormatPr baseColWidth="10" defaultColWidth="8.88671875" defaultRowHeight="14.4" x14ac:dyDescent="0.3"/>
  <cols>
    <col min="2" max="2" width="10" customWidth="1"/>
    <col min="7" max="7" width="11.44140625" customWidth="1"/>
    <col min="8" max="8" width="11.109375" customWidth="1"/>
    <col min="9" max="9" width="11.33203125" customWidth="1"/>
    <col min="10" max="10" width="14.88671875" customWidth="1"/>
    <col min="13" max="13" width="13.33203125" customWidth="1"/>
  </cols>
  <sheetData>
    <row r="6" spans="1:19" x14ac:dyDescent="0.3">
      <c r="D6" s="14" t="s">
        <v>67</v>
      </c>
      <c r="E6" s="14">
        <v>2.94</v>
      </c>
    </row>
    <row r="8" spans="1:19" x14ac:dyDescent="0.3">
      <c r="H8" s="113" t="s">
        <v>68</v>
      </c>
      <c r="I8" s="113"/>
      <c r="J8" s="113"/>
      <c r="M8" s="110" t="s">
        <v>69</v>
      </c>
      <c r="N8" s="111"/>
      <c r="O8" s="111"/>
      <c r="P8" s="111"/>
      <c r="Q8" s="111"/>
      <c r="R8" s="111"/>
      <c r="S8" s="112"/>
    </row>
    <row r="9" spans="1:19" x14ac:dyDescent="0.3">
      <c r="H9" s="16"/>
      <c r="I9" s="16" t="s">
        <v>70</v>
      </c>
      <c r="J9" s="16" t="s">
        <v>71</v>
      </c>
      <c r="M9" s="18" t="s">
        <v>72</v>
      </c>
      <c r="N9" s="18" t="s">
        <v>73</v>
      </c>
      <c r="O9" s="18" t="s">
        <v>8</v>
      </c>
      <c r="P9" s="18" t="s">
        <v>74</v>
      </c>
      <c r="Q9" s="18" t="s">
        <v>12</v>
      </c>
      <c r="R9" s="18" t="s">
        <v>75</v>
      </c>
      <c r="S9" s="18" t="s">
        <v>76</v>
      </c>
    </row>
    <row r="10" spans="1:19" x14ac:dyDescent="0.3">
      <c r="B10" s="1" t="s">
        <v>64</v>
      </c>
      <c r="C10" s="1">
        <f>'3. Punto de Función'!C15</f>
        <v>17.646720000000002</v>
      </c>
      <c r="H10" s="16" t="s">
        <v>77</v>
      </c>
      <c r="I10" s="91" t="s">
        <v>74</v>
      </c>
      <c r="J10" s="4">
        <f>IF(EXACT(I10,$N$9),N10,IF(EXACT(I10,$O$9),O10,IF(EXACT(I10,$P$9),P10,IF(EXACT(I10,$Q$9),Q10,IF(EXACT(I10,$R$9),R10,0)))))</f>
        <v>3.72</v>
      </c>
      <c r="M10" s="18" t="s">
        <v>77</v>
      </c>
      <c r="N10" s="23">
        <v>6.2</v>
      </c>
      <c r="O10" s="23">
        <v>4.96</v>
      </c>
      <c r="P10" s="23">
        <v>3.72</v>
      </c>
      <c r="Q10" s="23">
        <v>2.48</v>
      </c>
      <c r="R10" s="23">
        <v>1.24</v>
      </c>
      <c r="S10" s="23">
        <v>0</v>
      </c>
    </row>
    <row r="11" spans="1:19" x14ac:dyDescent="0.3">
      <c r="B11" s="1" t="s">
        <v>78</v>
      </c>
      <c r="C11" s="1">
        <f>1.01+(0.01*J15)</f>
        <v>1.1997</v>
      </c>
      <c r="H11" s="16" t="s">
        <v>79</v>
      </c>
      <c r="I11" s="4" t="str">
        <f>P9</f>
        <v>Nominal</v>
      </c>
      <c r="J11" s="4">
        <f t="shared" ref="J11:J13" si="0">IF(EXACT(I11,$N$9),N11,IF(EXACT(I11,$O$9),O11,IF(EXACT(I11,$P$9),P11,IF(EXACT(I11,$Q$9),Q11,IF(EXACT(I11,$R$9),R11,0)))))</f>
        <v>3.04</v>
      </c>
      <c r="M11" s="18" t="s">
        <v>79</v>
      </c>
      <c r="N11" s="23">
        <v>5.07</v>
      </c>
      <c r="O11" s="23">
        <v>4.05</v>
      </c>
      <c r="P11" s="23">
        <v>3.04</v>
      </c>
      <c r="Q11" s="23">
        <v>2.0299999999999998</v>
      </c>
      <c r="R11" s="23">
        <v>1.01</v>
      </c>
      <c r="S11" s="23">
        <v>0</v>
      </c>
    </row>
    <row r="12" spans="1:19" x14ac:dyDescent="0.3">
      <c r="B12" s="15" t="s">
        <v>80</v>
      </c>
      <c r="C12" s="15">
        <f>$E$6*(C10^C11)*J39</f>
        <v>92.038625641654122</v>
      </c>
      <c r="D12" s="116" t="s">
        <v>81</v>
      </c>
      <c r="E12" s="117"/>
      <c r="H12" s="16" t="s">
        <v>82</v>
      </c>
      <c r="I12" s="91" t="s">
        <v>74</v>
      </c>
      <c r="J12" s="4">
        <f t="shared" si="0"/>
        <v>4.24</v>
      </c>
      <c r="M12" s="18" t="s">
        <v>82</v>
      </c>
      <c r="N12" s="23">
        <v>7.07</v>
      </c>
      <c r="O12" s="23">
        <v>5.65</v>
      </c>
      <c r="P12" s="23">
        <v>4.24</v>
      </c>
      <c r="Q12" s="23">
        <v>2.83</v>
      </c>
      <c r="R12" s="23">
        <v>1.41</v>
      </c>
      <c r="S12" s="23">
        <v>0</v>
      </c>
    </row>
    <row r="13" spans="1:19" x14ac:dyDescent="0.3">
      <c r="A13" s="118" t="s">
        <v>83</v>
      </c>
      <c r="B13" s="118"/>
      <c r="C13" s="25">
        <f>ROUNDUP($E$6*(C10^C11)*J39,0)</f>
        <v>93</v>
      </c>
      <c r="D13" s="117" t="s">
        <v>81</v>
      </c>
      <c r="E13" s="117"/>
      <c r="H13" s="16" t="s">
        <v>84</v>
      </c>
      <c r="I13" s="91" t="s">
        <v>74</v>
      </c>
      <c r="J13" s="4">
        <f t="shared" si="0"/>
        <v>3.29</v>
      </c>
      <c r="M13" s="18" t="s">
        <v>84</v>
      </c>
      <c r="N13" s="23">
        <v>5.48</v>
      </c>
      <c r="O13" s="23">
        <v>4.38</v>
      </c>
      <c r="P13" s="23">
        <v>3.29</v>
      </c>
      <c r="Q13" s="23">
        <v>2.19</v>
      </c>
      <c r="R13" s="23">
        <v>1.1000000000000001</v>
      </c>
      <c r="S13" s="23">
        <v>0</v>
      </c>
    </row>
    <row r="14" spans="1:19" x14ac:dyDescent="0.3">
      <c r="H14" s="16" t="s">
        <v>85</v>
      </c>
      <c r="I14" s="92" t="s">
        <v>74</v>
      </c>
      <c r="J14" s="4">
        <f>IF(EXACT(I14,$N$9),N14,IF(EXACT(I14,$O$9),O14,IF(EXACT(I14,$P$9),P14,IF(EXACT(I14,$Q$9),Q14,IF(EXACT(I14,$R$9),R14,0)))))</f>
        <v>4.68</v>
      </c>
      <c r="M14" s="18" t="s">
        <v>85</v>
      </c>
      <c r="N14" s="23">
        <v>7.8</v>
      </c>
      <c r="O14" s="23">
        <v>6.24</v>
      </c>
      <c r="P14" s="23">
        <v>4.68</v>
      </c>
      <c r="Q14" s="23">
        <v>3.12</v>
      </c>
      <c r="R14" s="23">
        <v>1.56</v>
      </c>
      <c r="S14" s="23">
        <v>0</v>
      </c>
    </row>
    <row r="15" spans="1:19" x14ac:dyDescent="0.3">
      <c r="I15" s="20" t="s">
        <v>49</v>
      </c>
      <c r="J15" s="20">
        <f>SUM(J10:J14)</f>
        <v>18.97</v>
      </c>
      <c r="P15" s="90">
        <f>SUM(P10:P14)</f>
        <v>18.97</v>
      </c>
    </row>
    <row r="18" spans="1:19" x14ac:dyDescent="0.3">
      <c r="B18" s="24" t="s">
        <v>86</v>
      </c>
      <c r="C18" s="24"/>
      <c r="D18" s="24"/>
      <c r="E18">
        <f>0.28+(0.002*J15)</f>
        <v>0.31794</v>
      </c>
    </row>
    <row r="19" spans="1:19" x14ac:dyDescent="0.3">
      <c r="B19" s="15" t="s">
        <v>87</v>
      </c>
      <c r="C19" s="15">
        <f>2.4*(C12^E18)</f>
        <v>10.107317381097278</v>
      </c>
      <c r="D19" t="s">
        <v>88</v>
      </c>
    </row>
    <row r="20" spans="1:19" x14ac:dyDescent="0.3">
      <c r="A20" s="120" t="s">
        <v>89</v>
      </c>
      <c r="B20" s="121"/>
      <c r="C20" s="25">
        <f>ROUNDUP(2.4*(C12^E18),0)</f>
        <v>11</v>
      </c>
      <c r="D20" t="s">
        <v>88</v>
      </c>
      <c r="H20" s="114" t="s">
        <v>90</v>
      </c>
      <c r="I20" s="114"/>
      <c r="J20" s="114"/>
      <c r="M20" s="110" t="s">
        <v>91</v>
      </c>
      <c r="N20" s="111"/>
      <c r="O20" s="111"/>
      <c r="P20" s="111"/>
      <c r="Q20" s="111"/>
      <c r="R20" s="111"/>
      <c r="S20" s="112"/>
    </row>
    <row r="21" spans="1:19" x14ac:dyDescent="0.3">
      <c r="H21" s="16"/>
      <c r="I21" s="16" t="s">
        <v>70</v>
      </c>
      <c r="J21" s="16" t="s">
        <v>71</v>
      </c>
      <c r="M21" s="18" t="s">
        <v>92</v>
      </c>
      <c r="N21" s="18" t="s">
        <v>73</v>
      </c>
      <c r="O21" s="18" t="s">
        <v>8</v>
      </c>
      <c r="P21" s="18" t="s">
        <v>74</v>
      </c>
      <c r="Q21" s="18" t="s">
        <v>12</v>
      </c>
      <c r="R21" s="18" t="s">
        <v>75</v>
      </c>
      <c r="S21" s="18" t="s">
        <v>76</v>
      </c>
    </row>
    <row r="22" spans="1:19" x14ac:dyDescent="0.3">
      <c r="G22" s="115" t="s">
        <v>93</v>
      </c>
      <c r="H22" s="19" t="s">
        <v>94</v>
      </c>
      <c r="I22" s="4" t="str">
        <f>P21</f>
        <v>Nominal</v>
      </c>
      <c r="J22" s="4">
        <f>IF(EXACT(I22,$N$21),N22,IF(EXACT(I22,$O$21),O22,IF(EXACT(I22,$P$21),P22,IF(EXACT(I22,$Q$21),Q22,IF(EXACT(I22,$R$21),R22,S22)))))</f>
        <v>1</v>
      </c>
      <c r="M22" s="18" t="s">
        <v>94</v>
      </c>
      <c r="N22" s="18">
        <v>0.75</v>
      </c>
      <c r="O22" s="18">
        <v>0.88</v>
      </c>
      <c r="P22" s="18">
        <v>1</v>
      </c>
      <c r="Q22" s="18">
        <v>1.1499999999999999</v>
      </c>
      <c r="R22" s="18">
        <v>1.39</v>
      </c>
      <c r="S22" s="18"/>
    </row>
    <row r="23" spans="1:19" x14ac:dyDescent="0.3">
      <c r="G23" s="115"/>
      <c r="H23" s="19" t="s">
        <v>95</v>
      </c>
      <c r="I23" s="4" t="s">
        <v>74</v>
      </c>
      <c r="J23" s="4">
        <f t="shared" ref="J23:J38" si="1">IF(EXACT(I23,$N$21),N23,IF(EXACT(I23,$O$21),O23,IF(EXACT(I23,$P$21),P23,IF(EXACT(I23,$Q$21),Q23,IF(EXACT(I23,$R$21),R23,S23)))))</f>
        <v>1</v>
      </c>
      <c r="M23" s="18" t="s">
        <v>95</v>
      </c>
      <c r="N23" s="18"/>
      <c r="O23" s="18">
        <v>0.93</v>
      </c>
      <c r="P23" s="18">
        <v>1</v>
      </c>
      <c r="Q23" s="18">
        <v>1.0900000000000001</v>
      </c>
      <c r="R23" s="18">
        <v>1.19</v>
      </c>
      <c r="S23" s="18"/>
    </row>
    <row r="24" spans="1:19" x14ac:dyDescent="0.3">
      <c r="G24" s="115"/>
      <c r="H24" s="19" t="s">
        <v>96</v>
      </c>
      <c r="I24" s="4" t="str">
        <f>P21</f>
        <v>Nominal</v>
      </c>
      <c r="J24" s="4">
        <f t="shared" si="1"/>
        <v>1</v>
      </c>
      <c r="M24" s="18" t="s">
        <v>96</v>
      </c>
      <c r="N24" s="18">
        <v>0.75</v>
      </c>
      <c r="O24" s="18">
        <v>0.88</v>
      </c>
      <c r="P24" s="18">
        <v>1</v>
      </c>
      <c r="Q24" s="18">
        <v>1.1499999999999999</v>
      </c>
      <c r="R24" s="18">
        <v>1.3</v>
      </c>
      <c r="S24" s="18">
        <v>1.66</v>
      </c>
    </row>
    <row r="25" spans="1:19" x14ac:dyDescent="0.3">
      <c r="B25" t="s">
        <v>97</v>
      </c>
      <c r="G25" s="115"/>
      <c r="H25" s="19" t="s">
        <v>98</v>
      </c>
      <c r="I25" s="4" t="str">
        <f>P21</f>
        <v>Nominal</v>
      </c>
      <c r="J25" s="4">
        <f t="shared" si="1"/>
        <v>1</v>
      </c>
      <c r="M25" s="18" t="s">
        <v>98</v>
      </c>
      <c r="N25" s="18"/>
      <c r="O25" s="18">
        <v>0.91</v>
      </c>
      <c r="P25" s="18">
        <v>1</v>
      </c>
      <c r="Q25" s="18">
        <v>1.1399999999999999</v>
      </c>
      <c r="R25" s="18">
        <v>1.29</v>
      </c>
      <c r="S25" s="18">
        <v>1.49</v>
      </c>
    </row>
    <row r="26" spans="1:19" x14ac:dyDescent="0.3">
      <c r="B26" s="15" t="s">
        <v>99</v>
      </c>
      <c r="C26" s="15">
        <f>C12/C19</f>
        <v>9.1061378772754189</v>
      </c>
      <c r="D26" t="s">
        <v>100</v>
      </c>
      <c r="G26" s="115"/>
      <c r="H26" s="19" t="s">
        <v>101</v>
      </c>
      <c r="I26" s="4" t="str">
        <f>P21</f>
        <v>Nominal</v>
      </c>
      <c r="J26" s="4">
        <f t="shared" si="1"/>
        <v>1</v>
      </c>
      <c r="M26" s="18" t="s">
        <v>101</v>
      </c>
      <c r="N26" s="18">
        <v>0.89</v>
      </c>
      <c r="O26" s="18">
        <v>0.95</v>
      </c>
      <c r="P26" s="18">
        <v>1</v>
      </c>
      <c r="Q26" s="18">
        <v>1.06</v>
      </c>
      <c r="R26" s="18">
        <v>1.1299999999999999</v>
      </c>
      <c r="S26" s="18"/>
    </row>
    <row r="27" spans="1:19" x14ac:dyDescent="0.3">
      <c r="A27" s="119" t="s">
        <v>102</v>
      </c>
      <c r="B27" s="119"/>
      <c r="C27" s="25">
        <f>ROUNDUP(C12/C19,0)</f>
        <v>10</v>
      </c>
      <c r="D27" t="s">
        <v>100</v>
      </c>
      <c r="G27" s="109" t="s">
        <v>103</v>
      </c>
      <c r="H27" s="19" t="s">
        <v>104</v>
      </c>
      <c r="I27" s="4" t="str">
        <f>P21</f>
        <v>Nominal</v>
      </c>
      <c r="J27" s="4">
        <f t="shared" si="1"/>
        <v>1</v>
      </c>
      <c r="M27" s="18" t="s">
        <v>104</v>
      </c>
      <c r="N27" s="18"/>
      <c r="O27" s="18"/>
      <c r="P27" s="18">
        <v>1</v>
      </c>
      <c r="Q27" s="18">
        <v>1.1100000000000001</v>
      </c>
      <c r="R27" s="18">
        <v>1.31</v>
      </c>
      <c r="S27" s="18">
        <v>1.67</v>
      </c>
    </row>
    <row r="28" spans="1:19" x14ac:dyDescent="0.3">
      <c r="G28" s="109"/>
      <c r="H28" s="19" t="s">
        <v>105</v>
      </c>
      <c r="I28" s="4" t="str">
        <f>P21</f>
        <v>Nominal</v>
      </c>
      <c r="J28" s="4">
        <f t="shared" si="1"/>
        <v>1</v>
      </c>
      <c r="M28" s="18" t="s">
        <v>105</v>
      </c>
      <c r="N28" s="18"/>
      <c r="O28" s="18"/>
      <c r="P28" s="18">
        <v>1</v>
      </c>
      <c r="Q28" s="18">
        <v>1.06</v>
      </c>
      <c r="R28" s="18">
        <v>1.21</v>
      </c>
      <c r="S28" s="18">
        <v>1.57</v>
      </c>
    </row>
    <row r="29" spans="1:19" x14ac:dyDescent="0.3">
      <c r="G29" s="109"/>
      <c r="H29" s="19" t="s">
        <v>106</v>
      </c>
      <c r="I29" s="91" t="s">
        <v>74</v>
      </c>
      <c r="J29" s="4">
        <f t="shared" si="1"/>
        <v>1</v>
      </c>
      <c r="M29" s="18" t="s">
        <v>106</v>
      </c>
      <c r="N29" s="18"/>
      <c r="O29" s="18">
        <v>0.87</v>
      </c>
      <c r="P29" s="18">
        <v>1</v>
      </c>
      <c r="Q29" s="18">
        <v>1.1499999999999999</v>
      </c>
      <c r="R29" s="18">
        <v>1.3</v>
      </c>
      <c r="S29" s="18"/>
    </row>
    <row r="30" spans="1:19" x14ac:dyDescent="0.3">
      <c r="G30" s="109" t="s">
        <v>107</v>
      </c>
      <c r="H30" s="19" t="s">
        <v>108</v>
      </c>
      <c r="I30" s="91" t="s">
        <v>74</v>
      </c>
      <c r="J30" s="4">
        <f t="shared" si="1"/>
        <v>1</v>
      </c>
      <c r="M30" s="18" t="s">
        <v>108</v>
      </c>
      <c r="N30" s="18">
        <v>1.5</v>
      </c>
      <c r="O30" s="18">
        <v>1.22</v>
      </c>
      <c r="P30" s="18">
        <v>1</v>
      </c>
      <c r="Q30" s="18">
        <v>0.83</v>
      </c>
      <c r="R30" s="18">
        <v>0.67</v>
      </c>
      <c r="S30" s="18"/>
    </row>
    <row r="31" spans="1:19" x14ac:dyDescent="0.3">
      <c r="G31" s="109"/>
      <c r="H31" s="19" t="s">
        <v>109</v>
      </c>
      <c r="I31" s="91" t="s">
        <v>74</v>
      </c>
      <c r="J31" s="4">
        <f t="shared" si="1"/>
        <v>1</v>
      </c>
      <c r="M31" s="18" t="s">
        <v>109</v>
      </c>
      <c r="N31" s="18">
        <v>1.37</v>
      </c>
      <c r="O31" s="18">
        <v>1.1599999999999999</v>
      </c>
      <c r="P31" s="18">
        <v>1</v>
      </c>
      <c r="Q31" s="18">
        <v>0.87</v>
      </c>
      <c r="R31" s="18">
        <v>0.74</v>
      </c>
      <c r="S31" s="18"/>
    </row>
    <row r="32" spans="1:19" x14ac:dyDescent="0.3">
      <c r="G32" s="109"/>
      <c r="H32" s="19" t="s">
        <v>110</v>
      </c>
      <c r="I32" s="91" t="s">
        <v>74</v>
      </c>
      <c r="J32" s="4">
        <f t="shared" si="1"/>
        <v>1</v>
      </c>
      <c r="M32" s="18" t="s">
        <v>110</v>
      </c>
      <c r="N32" s="18">
        <v>1.24</v>
      </c>
      <c r="O32" s="18">
        <v>1.1000000000000001</v>
      </c>
      <c r="P32" s="18">
        <v>1</v>
      </c>
      <c r="Q32" s="18">
        <v>0.92</v>
      </c>
      <c r="R32" s="18">
        <v>0.84</v>
      </c>
      <c r="S32" s="18"/>
    </row>
    <row r="33" spans="7:19" x14ac:dyDescent="0.3">
      <c r="G33" s="109"/>
      <c r="H33" s="19" t="s">
        <v>111</v>
      </c>
      <c r="I33" s="91" t="s">
        <v>74</v>
      </c>
      <c r="J33" s="4">
        <f t="shared" si="1"/>
        <v>1</v>
      </c>
      <c r="M33" s="18" t="s">
        <v>111</v>
      </c>
      <c r="N33" s="18">
        <v>1.22</v>
      </c>
      <c r="O33" s="18">
        <v>1.1000000000000001</v>
      </c>
      <c r="P33" s="18">
        <v>1</v>
      </c>
      <c r="Q33" s="18">
        <v>0.89</v>
      </c>
      <c r="R33" s="18">
        <v>0.81</v>
      </c>
      <c r="S33" s="18"/>
    </row>
    <row r="34" spans="7:19" x14ac:dyDescent="0.3">
      <c r="G34" s="109"/>
      <c r="H34" s="19" t="s">
        <v>112</v>
      </c>
      <c r="I34" s="91" t="s">
        <v>74</v>
      </c>
      <c r="J34" s="4">
        <f t="shared" si="1"/>
        <v>1</v>
      </c>
      <c r="M34" s="18" t="s">
        <v>112</v>
      </c>
      <c r="N34" s="18">
        <v>1.25</v>
      </c>
      <c r="O34" s="18">
        <v>1.1200000000000001</v>
      </c>
      <c r="P34" s="18">
        <v>1</v>
      </c>
      <c r="Q34" s="18">
        <v>0.88</v>
      </c>
      <c r="R34" s="18">
        <v>0.81</v>
      </c>
      <c r="S34" s="18"/>
    </row>
    <row r="35" spans="7:19" x14ac:dyDescent="0.3">
      <c r="G35" s="109"/>
      <c r="H35" s="19" t="s">
        <v>113</v>
      </c>
      <c r="I35" s="91" t="s">
        <v>74</v>
      </c>
      <c r="J35" s="4">
        <f t="shared" si="1"/>
        <v>1</v>
      </c>
      <c r="M35" s="18" t="s">
        <v>113</v>
      </c>
      <c r="N35" s="18">
        <v>1.22</v>
      </c>
      <c r="O35" s="18">
        <v>1.1000000000000001</v>
      </c>
      <c r="P35" s="18">
        <v>1</v>
      </c>
      <c r="Q35" s="18">
        <v>0.91</v>
      </c>
      <c r="R35" s="18">
        <v>0.84</v>
      </c>
      <c r="S35" s="18"/>
    </row>
    <row r="36" spans="7:19" x14ac:dyDescent="0.3">
      <c r="G36" s="109" t="s">
        <v>114</v>
      </c>
      <c r="H36" s="19" t="s">
        <v>115</v>
      </c>
      <c r="I36" s="91" t="s">
        <v>74</v>
      </c>
      <c r="J36" s="4">
        <f t="shared" si="1"/>
        <v>1</v>
      </c>
      <c r="M36" s="18" t="s">
        <v>115</v>
      </c>
      <c r="N36" s="18">
        <v>1.24</v>
      </c>
      <c r="O36" s="18">
        <v>1.1200000000000001</v>
      </c>
      <c r="P36" s="18">
        <v>1</v>
      </c>
      <c r="Q36" s="18">
        <v>0.86</v>
      </c>
      <c r="R36" s="18">
        <v>0.72</v>
      </c>
      <c r="S36" s="18"/>
    </row>
    <row r="37" spans="7:19" x14ac:dyDescent="0.3">
      <c r="G37" s="109"/>
      <c r="H37" s="19" t="s">
        <v>116</v>
      </c>
      <c r="I37" s="91" t="s">
        <v>74</v>
      </c>
      <c r="J37" s="4">
        <f t="shared" si="1"/>
        <v>1</v>
      </c>
      <c r="M37" s="18" t="s">
        <v>116</v>
      </c>
      <c r="N37" s="18">
        <v>1.25</v>
      </c>
      <c r="O37" s="18">
        <v>1.1000000000000001</v>
      </c>
      <c r="P37" s="18">
        <v>1</v>
      </c>
      <c r="Q37" s="18">
        <v>0.92</v>
      </c>
      <c r="R37" s="18">
        <v>0.84</v>
      </c>
      <c r="S37" s="18">
        <v>0.78</v>
      </c>
    </row>
    <row r="38" spans="7:19" x14ac:dyDescent="0.3">
      <c r="G38" s="109"/>
      <c r="H38" s="19" t="s">
        <v>117</v>
      </c>
      <c r="I38" s="4" t="s">
        <v>74</v>
      </c>
      <c r="J38" s="4">
        <f t="shared" si="1"/>
        <v>1</v>
      </c>
      <c r="M38" s="18" t="s">
        <v>117</v>
      </c>
      <c r="N38" s="18">
        <v>1.29</v>
      </c>
      <c r="O38" s="18">
        <v>1.1000000000000001</v>
      </c>
      <c r="P38" s="18">
        <v>1</v>
      </c>
      <c r="Q38" s="18">
        <v>1</v>
      </c>
      <c r="R38" s="18">
        <v>1</v>
      </c>
      <c r="S38" s="18"/>
    </row>
    <row r="39" spans="7:19" x14ac:dyDescent="0.3">
      <c r="I39" s="21" t="s">
        <v>49</v>
      </c>
      <c r="J39" s="21">
        <f>PRODUCT(J22:J26,J27:J29,J30:J35,J36:J38)</f>
        <v>1</v>
      </c>
    </row>
  </sheetData>
  <mergeCells count="13">
    <mergeCell ref="D12:E12"/>
    <mergeCell ref="D13:E13"/>
    <mergeCell ref="A13:B13"/>
    <mergeCell ref="A27:B27"/>
    <mergeCell ref="A20:B20"/>
    <mergeCell ref="G30:G35"/>
    <mergeCell ref="G36:G38"/>
    <mergeCell ref="M20:S20"/>
    <mergeCell ref="M8:S8"/>
    <mergeCell ref="H8:J8"/>
    <mergeCell ref="H20:J20"/>
    <mergeCell ref="G22:G26"/>
    <mergeCell ref="G27:G29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53"/>
  <sheetViews>
    <sheetView showGridLines="0" tabSelected="1" topLeftCell="C14" workbookViewId="0">
      <selection activeCell="D34" sqref="D34"/>
    </sheetView>
  </sheetViews>
  <sheetFormatPr baseColWidth="10" defaultColWidth="8.88671875" defaultRowHeight="14.4" x14ac:dyDescent="0.3"/>
  <cols>
    <col min="2" max="2" width="18.109375" customWidth="1"/>
    <col min="3" max="3" width="12" bestFit="1" customWidth="1"/>
    <col min="4" max="5" width="14" customWidth="1"/>
    <col min="6" max="6" width="15.88671875" customWidth="1"/>
    <col min="9" max="9" width="14.6640625" customWidth="1"/>
    <col min="10" max="10" width="19.5546875" customWidth="1"/>
    <col min="11" max="11" width="13.5546875" customWidth="1"/>
    <col min="12" max="12" width="20.6640625" customWidth="1"/>
    <col min="13" max="13" width="23.88671875" customWidth="1"/>
    <col min="14" max="14" width="20.6640625" customWidth="1"/>
    <col min="15" max="15" width="21.109375" customWidth="1"/>
    <col min="16" max="16" width="16.5546875" customWidth="1"/>
    <col min="17" max="17" width="19.88671875" customWidth="1"/>
    <col min="18" max="18" width="23.44140625" customWidth="1"/>
  </cols>
  <sheetData>
    <row r="2" spans="3:18" x14ac:dyDescent="0.3">
      <c r="C2" s="65" t="s">
        <v>64</v>
      </c>
      <c r="D2" s="61">
        <f>'3. Punto de Función'!C15</f>
        <v>17.646720000000002</v>
      </c>
    </row>
    <row r="3" spans="3:18" x14ac:dyDescent="0.3">
      <c r="C3" s="66" t="s">
        <v>80</v>
      </c>
      <c r="D3" s="62">
        <f>'5. Estimación del esfuerzo'!C12</f>
        <v>92.038625641654122</v>
      </c>
    </row>
    <row r="4" spans="3:18" x14ac:dyDescent="0.3">
      <c r="C4" s="67" t="s">
        <v>87</v>
      </c>
      <c r="D4" s="63">
        <f>'5. Estimación del esfuerzo'!C20</f>
        <v>11</v>
      </c>
    </row>
    <row r="5" spans="3:18" x14ac:dyDescent="0.3">
      <c r="C5" s="68" t="s">
        <v>99</v>
      </c>
      <c r="D5" s="64">
        <f>'5. Estimación del esfuerzo'!C27</f>
        <v>10</v>
      </c>
      <c r="L5" s="26" t="s">
        <v>118</v>
      </c>
      <c r="M5" s="26" t="s">
        <v>119</v>
      </c>
      <c r="N5" s="26" t="s">
        <v>120</v>
      </c>
      <c r="O5" s="26" t="s">
        <v>121</v>
      </c>
      <c r="P5" s="26" t="s">
        <v>122</v>
      </c>
      <c r="Q5" s="26" t="s">
        <v>123</v>
      </c>
      <c r="R5" s="26" t="s">
        <v>124</v>
      </c>
    </row>
    <row r="6" spans="3:18" ht="15" x14ac:dyDescent="0.3">
      <c r="L6" s="26" t="s">
        <v>125</v>
      </c>
      <c r="M6" s="27"/>
      <c r="N6" s="28">
        <v>2</v>
      </c>
      <c r="O6" s="28">
        <v>8</v>
      </c>
      <c r="P6" s="29">
        <v>32</v>
      </c>
      <c r="Q6" s="29">
        <v>128</v>
      </c>
      <c r="R6" s="29">
        <v>512</v>
      </c>
    </row>
    <row r="7" spans="3:18" ht="15" x14ac:dyDescent="0.3">
      <c r="L7" s="122" t="s">
        <v>126</v>
      </c>
      <c r="M7" s="27" t="s">
        <v>127</v>
      </c>
      <c r="N7" s="30">
        <v>7.0000000000000007E-2</v>
      </c>
      <c r="O7" s="30">
        <v>7.0000000000000007E-2</v>
      </c>
      <c r="P7" s="31">
        <v>7.0000000000000007E-2</v>
      </c>
      <c r="Q7" s="31">
        <v>7.0000000000000007E-2</v>
      </c>
      <c r="R7" s="31">
        <v>7.0000000000000007E-2</v>
      </c>
    </row>
    <row r="8" spans="3:18" ht="15" x14ac:dyDescent="0.3">
      <c r="L8" s="122"/>
      <c r="M8" s="27" t="s">
        <v>128</v>
      </c>
      <c r="N8" s="30">
        <v>0.17</v>
      </c>
      <c r="O8" s="30">
        <v>0.17</v>
      </c>
      <c r="P8" s="31">
        <v>0.17</v>
      </c>
      <c r="Q8" s="31">
        <v>0.17</v>
      </c>
      <c r="R8" s="31">
        <v>0.17</v>
      </c>
    </row>
    <row r="9" spans="3:18" ht="15" x14ac:dyDescent="0.3">
      <c r="L9" s="122"/>
      <c r="M9" s="27" t="s">
        <v>129</v>
      </c>
      <c r="N9" s="30">
        <v>0.64</v>
      </c>
      <c r="O9" s="30">
        <v>0.61</v>
      </c>
      <c r="P9" s="31">
        <v>0.57999999999999996</v>
      </c>
      <c r="Q9" s="31">
        <v>0.55000000000000004</v>
      </c>
      <c r="R9" s="31">
        <v>0.52</v>
      </c>
    </row>
    <row r="10" spans="3:18" ht="15" x14ac:dyDescent="0.3">
      <c r="C10" s="14">
        <f>(D2-O6)/(P6-O6)</f>
        <v>0.40194666666666673</v>
      </c>
      <c r="L10" s="122"/>
      <c r="M10" s="27" t="s">
        <v>130</v>
      </c>
      <c r="N10" s="32">
        <v>0.27</v>
      </c>
      <c r="O10" s="30">
        <v>0.26</v>
      </c>
      <c r="P10" s="31">
        <v>0.25</v>
      </c>
      <c r="Q10" s="31">
        <v>0.24</v>
      </c>
      <c r="R10" s="31">
        <v>0.23</v>
      </c>
    </row>
    <row r="11" spans="3:18" ht="15" x14ac:dyDescent="0.3">
      <c r="L11" s="122"/>
      <c r="M11" s="27" t="s">
        <v>131</v>
      </c>
      <c r="N11" s="30">
        <v>0.37</v>
      </c>
      <c r="O11" s="30">
        <v>0.35</v>
      </c>
      <c r="P11" s="31">
        <v>0.33</v>
      </c>
      <c r="Q11" s="31">
        <v>0.31</v>
      </c>
      <c r="R11" s="31">
        <v>0.28999999999999998</v>
      </c>
    </row>
    <row r="12" spans="3:18" ht="15" x14ac:dyDescent="0.3">
      <c r="L12" s="122"/>
      <c r="M12" s="27" t="s">
        <v>132</v>
      </c>
      <c r="N12" s="30">
        <v>0.19</v>
      </c>
      <c r="O12" s="30">
        <v>0.22</v>
      </c>
      <c r="P12" s="31">
        <v>0.25</v>
      </c>
      <c r="Q12" s="33">
        <v>0.28000000000000003</v>
      </c>
      <c r="R12" s="31">
        <v>0.31</v>
      </c>
    </row>
    <row r="13" spans="3:18" ht="25.5" customHeight="1" x14ac:dyDescent="0.3">
      <c r="L13" s="34" t="s">
        <v>133</v>
      </c>
      <c r="M13" s="27"/>
      <c r="N13" s="30"/>
      <c r="O13" s="30"/>
      <c r="P13" s="31"/>
      <c r="Q13" s="31"/>
      <c r="R13" s="31"/>
    </row>
    <row r="14" spans="3:18" ht="15" x14ac:dyDescent="0.3">
      <c r="L14" s="122" t="s">
        <v>126</v>
      </c>
      <c r="M14" s="27" t="s">
        <v>127</v>
      </c>
      <c r="N14" s="30">
        <v>0.16</v>
      </c>
      <c r="O14" s="30">
        <v>0.18</v>
      </c>
      <c r="P14" s="31">
        <v>0.2</v>
      </c>
      <c r="Q14" s="31">
        <v>0.22</v>
      </c>
      <c r="R14" s="31">
        <v>0.24</v>
      </c>
    </row>
    <row r="15" spans="3:18" ht="15" x14ac:dyDescent="0.3">
      <c r="L15" s="122"/>
      <c r="M15" s="27" t="s">
        <v>128</v>
      </c>
      <c r="N15" s="30">
        <v>0.24</v>
      </c>
      <c r="O15" s="30">
        <v>0.25</v>
      </c>
      <c r="P15" s="31">
        <v>0.26</v>
      </c>
      <c r="Q15" s="31">
        <v>0.27</v>
      </c>
      <c r="R15" s="31">
        <v>0.28000000000000003</v>
      </c>
    </row>
    <row r="16" spans="3:18" ht="15" x14ac:dyDescent="0.3">
      <c r="L16" s="122"/>
      <c r="M16" s="27" t="s">
        <v>129</v>
      </c>
      <c r="N16" s="30">
        <v>0.56000000000000005</v>
      </c>
      <c r="O16" s="30">
        <v>0.52</v>
      </c>
      <c r="P16" s="31">
        <v>0.48</v>
      </c>
      <c r="Q16" s="31">
        <v>0.44</v>
      </c>
      <c r="R16" s="31">
        <v>0.4</v>
      </c>
    </row>
    <row r="17" spans="2:18" ht="15" x14ac:dyDescent="0.3">
      <c r="L17" s="122"/>
      <c r="M17" s="27" t="s">
        <v>134</v>
      </c>
      <c r="N17" s="31">
        <v>0.2</v>
      </c>
      <c r="O17" s="31">
        <v>0.23</v>
      </c>
      <c r="P17" s="31">
        <v>0.26</v>
      </c>
      <c r="Q17" s="31">
        <v>0.28999999999999998</v>
      </c>
      <c r="R17" s="31">
        <v>0.32</v>
      </c>
    </row>
    <row r="19" spans="2:18" x14ac:dyDescent="0.3">
      <c r="I19" s="114" t="s">
        <v>135</v>
      </c>
      <c r="J19" s="114"/>
      <c r="K19" s="114"/>
      <c r="M19" s="124" t="s">
        <v>136</v>
      </c>
      <c r="N19" s="124"/>
    </row>
    <row r="20" spans="2:18" x14ac:dyDescent="0.3">
      <c r="B20" s="17" t="s">
        <v>137</v>
      </c>
      <c r="C20" s="17" t="s">
        <v>138</v>
      </c>
      <c r="D20" s="17" t="s">
        <v>139</v>
      </c>
      <c r="E20" s="17" t="s">
        <v>140</v>
      </c>
      <c r="F20" s="17" t="s">
        <v>87</v>
      </c>
      <c r="G20" s="17" t="s">
        <v>99</v>
      </c>
      <c r="H20" s="17" t="s">
        <v>141</v>
      </c>
      <c r="I20" s="39" t="s">
        <v>142</v>
      </c>
      <c r="J20" s="39" t="s">
        <v>143</v>
      </c>
      <c r="K20" s="39" t="s">
        <v>144</v>
      </c>
      <c r="M20" s="1" t="str">
        <f>I20</f>
        <v>Jefe de Proyecto</v>
      </c>
      <c r="N20" s="35">
        <v>700</v>
      </c>
    </row>
    <row r="21" spans="2:18" x14ac:dyDescent="0.3">
      <c r="B21" s="17" t="s">
        <v>145</v>
      </c>
      <c r="C21" s="40">
        <f>O7+$C$10*(P7-O7)</f>
        <v>7.0000000000000007E-2</v>
      </c>
      <c r="D21" s="4">
        <f>$D$3*C21</f>
        <v>6.442703794915789</v>
      </c>
      <c r="E21" s="40">
        <f>O14+$C$10*(P14-O14)</f>
        <v>0.18803893333333332</v>
      </c>
      <c r="F21" s="4">
        <f>$D$4*E21</f>
        <v>2.0684282666666665</v>
      </c>
      <c r="G21" s="4">
        <f>D21/F21</f>
        <v>3.114782319861833</v>
      </c>
      <c r="H21" s="4">
        <f>ROUND(G21,0)</f>
        <v>3</v>
      </c>
      <c r="I21" s="4">
        <v>1</v>
      </c>
      <c r="J21" s="4">
        <v>0</v>
      </c>
      <c r="K21" s="4">
        <v>0</v>
      </c>
      <c r="M21" s="1" t="str">
        <f>J20</f>
        <v>Analista Programador</v>
      </c>
      <c r="N21" s="35">
        <v>540</v>
      </c>
    </row>
    <row r="22" spans="2:18" x14ac:dyDescent="0.3">
      <c r="B22" s="17" t="s">
        <v>128</v>
      </c>
      <c r="C22" s="40">
        <f>O8 +$C$10*(P8-O8)</f>
        <v>0.17</v>
      </c>
      <c r="D22" s="4">
        <f>$D$3*C22</f>
        <v>15.646566359081202</v>
      </c>
      <c r="E22" s="40">
        <f>O15+$C$10*(P15-O15)</f>
        <v>0.25401946666666669</v>
      </c>
      <c r="F22" s="4">
        <f>$D$4*E22</f>
        <v>2.7942141333333335</v>
      </c>
      <c r="G22" s="4">
        <f t="shared" ref="G22:G24" si="0">D22/F22</f>
        <v>5.5996303835224568</v>
      </c>
      <c r="H22" s="4">
        <f t="shared" ref="H22:H24" si="1">ROUND(G22,0)</f>
        <v>6</v>
      </c>
      <c r="I22" s="4">
        <v>1</v>
      </c>
      <c r="J22" s="4">
        <v>0</v>
      </c>
      <c r="K22" s="4">
        <v>0</v>
      </c>
      <c r="M22" s="1" t="str">
        <f>K20</f>
        <v>Programador</v>
      </c>
      <c r="N22" s="35">
        <v>250</v>
      </c>
    </row>
    <row r="23" spans="2:18" x14ac:dyDescent="0.3">
      <c r="B23" s="17" t="s">
        <v>146</v>
      </c>
      <c r="C23" s="40">
        <f>O9+$C$10*(P9-O9)</f>
        <v>0.59794159999999996</v>
      </c>
      <c r="D23" s="4">
        <f t="shared" ref="D22:D24" si="2">$D$3*C23</f>
        <v>55.033723077971686</v>
      </c>
      <c r="E23" s="40">
        <f>O16+$C$10*(P16-O16)</f>
        <v>0.50392213333333336</v>
      </c>
      <c r="F23" s="4">
        <f>$D$4*E23</f>
        <v>5.5431434666666668</v>
      </c>
      <c r="G23" s="4">
        <f t="shared" si="0"/>
        <v>9.9282516155162508</v>
      </c>
      <c r="H23" s="4">
        <f t="shared" si="1"/>
        <v>10</v>
      </c>
      <c r="I23" s="4">
        <v>1</v>
      </c>
      <c r="J23" s="4">
        <v>0</v>
      </c>
      <c r="K23" s="4">
        <v>1</v>
      </c>
    </row>
    <row r="24" spans="2:18" x14ac:dyDescent="0.3">
      <c r="B24" s="17" t="s">
        <v>147</v>
      </c>
      <c r="C24" s="40">
        <f>O12+$C$10*(P12-O12)</f>
        <v>0.2320584</v>
      </c>
      <c r="D24" s="4">
        <f t="shared" si="2"/>
        <v>21.35833620460123</v>
      </c>
      <c r="E24" s="40">
        <f>O17+$C$10*(P17-O17)</f>
        <v>0.24205840000000001</v>
      </c>
      <c r="F24" s="4">
        <f t="shared" ref="F22:F24" si="3">$D$4*E24</f>
        <v>2.6626424000000002</v>
      </c>
      <c r="G24" s="4">
        <f t="shared" si="0"/>
        <v>8.0214812941464562</v>
      </c>
      <c r="H24" s="4">
        <f t="shared" si="1"/>
        <v>8</v>
      </c>
      <c r="I24" s="4">
        <v>1</v>
      </c>
      <c r="J24" s="4">
        <v>0</v>
      </c>
      <c r="K24" s="4">
        <v>1</v>
      </c>
    </row>
    <row r="25" spans="2:18" x14ac:dyDescent="0.3">
      <c r="C25" s="41">
        <f>SUM(C22:C24)</f>
        <v>1</v>
      </c>
      <c r="D25" s="42">
        <f t="shared" ref="D25:E25" si="4">SUM(D22:D24)</f>
        <v>92.038625641654122</v>
      </c>
      <c r="E25" s="41">
        <f t="shared" si="4"/>
        <v>1</v>
      </c>
      <c r="F25" s="43">
        <f>SUM(F22:F24)</f>
        <v>11</v>
      </c>
    </row>
    <row r="27" spans="2:18" x14ac:dyDescent="0.3">
      <c r="B27" s="117" t="s">
        <v>148</v>
      </c>
      <c r="C27" s="117"/>
      <c r="D27" s="117"/>
    </row>
    <row r="28" spans="2:18" x14ac:dyDescent="0.3">
      <c r="B28" s="117" t="s">
        <v>149</v>
      </c>
      <c r="C28" s="117"/>
      <c r="D28" s="117"/>
      <c r="E28" s="117"/>
      <c r="F28" s="117"/>
      <c r="G28" s="117"/>
      <c r="H28" s="117"/>
      <c r="I28" s="117"/>
    </row>
    <row r="29" spans="2:18" x14ac:dyDescent="0.3">
      <c r="B29" s="117" t="s">
        <v>150</v>
      </c>
      <c r="C29" s="117"/>
      <c r="D29" s="117"/>
    </row>
    <row r="31" spans="2:18" x14ac:dyDescent="0.3">
      <c r="B31" s="123" t="s">
        <v>151</v>
      </c>
      <c r="C31" s="123"/>
      <c r="E31" s="123" t="s">
        <v>152</v>
      </c>
      <c r="F31" s="123"/>
      <c r="J31" s="127" t="s">
        <v>153</v>
      </c>
      <c r="K31" s="127"/>
    </row>
    <row r="32" spans="2:18" x14ac:dyDescent="0.3">
      <c r="B32" s="37" t="s">
        <v>154</v>
      </c>
      <c r="C32" s="35">
        <f>(F21*I21*$N$20)+(F21*J21*$N$21)+(F21*K21*$N$22)</f>
        <v>1447.8997866666666</v>
      </c>
      <c r="E32" s="37" t="s">
        <v>155</v>
      </c>
      <c r="F32" s="35">
        <f>F21*H21*$K$40</f>
        <v>74.162461287200003</v>
      </c>
      <c r="J32" s="1" t="s">
        <v>156</v>
      </c>
      <c r="K32" s="1" t="s">
        <v>157</v>
      </c>
    </row>
    <row r="33" spans="2:11" x14ac:dyDescent="0.3">
      <c r="B33" s="37" t="s">
        <v>158</v>
      </c>
      <c r="C33" s="35">
        <f t="shared" ref="C33:C35" si="5">(F22*I22*$N$20)+(F22*J22*$N$21)+(F22*K22*$N$22)</f>
        <v>1955.9498933333334</v>
      </c>
      <c r="E33" s="37" t="s">
        <v>159</v>
      </c>
      <c r="F33" s="35">
        <f t="shared" ref="F33:F35" si="6">F22*H22*$K$40</f>
        <v>200.37030128720002</v>
      </c>
      <c r="J33" s="1">
        <v>8</v>
      </c>
      <c r="K33" s="1">
        <v>2.2000000000000002</v>
      </c>
    </row>
    <row r="34" spans="2:11" x14ac:dyDescent="0.3">
      <c r="B34" s="37" t="s">
        <v>160</v>
      </c>
      <c r="C34" s="35">
        <f t="shared" si="5"/>
        <v>5265.9862933333334</v>
      </c>
      <c r="E34" s="37" t="s">
        <v>161</v>
      </c>
      <c r="F34" s="35">
        <f t="shared" si="6"/>
        <v>662.48879141866678</v>
      </c>
      <c r="J34" s="1">
        <v>205</v>
      </c>
      <c r="K34" s="1">
        <f>(J34*K33)/J33</f>
        <v>56.375000000000007</v>
      </c>
    </row>
    <row r="35" spans="2:11" x14ac:dyDescent="0.3">
      <c r="B35" s="37" t="s">
        <v>162</v>
      </c>
      <c r="C35" s="35">
        <f t="shared" si="5"/>
        <v>2529.51028</v>
      </c>
      <c r="E35" s="37" t="s">
        <v>163</v>
      </c>
      <c r="F35" s="35">
        <f t="shared" si="6"/>
        <v>254.58056514880005</v>
      </c>
    </row>
    <row r="36" spans="2:11" x14ac:dyDescent="0.3">
      <c r="B36" s="37" t="s">
        <v>49</v>
      </c>
      <c r="C36" s="38">
        <f>SUM(C32:C35)</f>
        <v>11199.346253333335</v>
      </c>
      <c r="E36" s="37" t="s">
        <v>49</v>
      </c>
      <c r="F36" s="38">
        <f>SUM(F32:F35)</f>
        <v>1191.602119141867</v>
      </c>
      <c r="J36" s="127" t="s">
        <v>164</v>
      </c>
      <c r="K36" s="127"/>
    </row>
    <row r="37" spans="2:11" x14ac:dyDescent="0.3">
      <c r="J37" s="9" t="s">
        <v>156</v>
      </c>
      <c r="K37" s="9" t="s">
        <v>165</v>
      </c>
    </row>
    <row r="38" spans="2:11" x14ac:dyDescent="0.3">
      <c r="B38" s="123" t="s">
        <v>166</v>
      </c>
      <c r="C38" s="123"/>
      <c r="E38" s="123" t="s">
        <v>167</v>
      </c>
      <c r="F38" s="123"/>
      <c r="J38" s="1">
        <v>1</v>
      </c>
      <c r="K38" s="1">
        <v>0.21199999999999999</v>
      </c>
    </row>
    <row r="39" spans="2:11" x14ac:dyDescent="0.3">
      <c r="B39" s="37" t="s">
        <v>168</v>
      </c>
      <c r="C39" s="35">
        <f>F21*'Lista de Materiales'!$I$15</f>
        <v>3.4560449232508628</v>
      </c>
      <c r="E39" s="37" t="s">
        <v>49</v>
      </c>
      <c r="F39" s="38">
        <f>SUM(N20:N22)</f>
        <v>1490</v>
      </c>
    </row>
    <row r="40" spans="2:11" x14ac:dyDescent="0.3">
      <c r="B40" s="37" t="s">
        <v>169</v>
      </c>
      <c r="C40" s="35">
        <f>F22*'Lista de Materiales'!$I$15</f>
        <v>4.668728292688102</v>
      </c>
      <c r="J40" s="1" t="s">
        <v>170</v>
      </c>
      <c r="K40" s="1">
        <f>K38*K34</f>
        <v>11.951500000000001</v>
      </c>
    </row>
    <row r="41" spans="2:11" x14ac:dyDescent="0.3">
      <c r="B41" s="37" t="s">
        <v>171</v>
      </c>
      <c r="C41" s="35">
        <f>F23*'Lista de Materiales'!$I$15</f>
        <v>9.2617922243429618</v>
      </c>
    </row>
    <row r="42" spans="2:11" x14ac:dyDescent="0.3">
      <c r="B42" s="37" t="s">
        <v>172</v>
      </c>
      <c r="C42" s="35">
        <f>F24*'Lista de Materiales'!$I$15</f>
        <v>4.4488909271106269</v>
      </c>
    </row>
    <row r="43" spans="2:11" x14ac:dyDescent="0.3">
      <c r="B43" s="37" t="s">
        <v>49</v>
      </c>
      <c r="C43" s="38">
        <f>SUM(C39:C42)</f>
        <v>21.835456367392553</v>
      </c>
      <c r="F43" s="59" t="s">
        <v>173</v>
      </c>
    </row>
    <row r="44" spans="2:11" x14ac:dyDescent="0.3">
      <c r="F44" s="58">
        <v>36.624299999999998</v>
      </c>
    </row>
    <row r="46" spans="2:11" x14ac:dyDescent="0.3">
      <c r="D46" s="60" t="s">
        <v>174</v>
      </c>
      <c r="E46" s="60" t="s">
        <v>175</v>
      </c>
    </row>
    <row r="47" spans="2:11" x14ac:dyDescent="0.3">
      <c r="B47" s="125" t="s">
        <v>176</v>
      </c>
      <c r="C47" s="126"/>
      <c r="D47" s="53">
        <f>C36+F36+F39+C43</f>
        <v>13902.783828842596</v>
      </c>
      <c r="E47" s="46">
        <f>D47*F44</f>
        <v>509179.72578267986</v>
      </c>
    </row>
    <row r="49" spans="5:9" x14ac:dyDescent="0.3">
      <c r="I49" s="44"/>
    </row>
    <row r="51" spans="5:9" x14ac:dyDescent="0.3">
      <c r="E51" s="45"/>
      <c r="F51" s="45"/>
    </row>
    <row r="52" spans="5:9" x14ac:dyDescent="0.3">
      <c r="E52" s="36"/>
    </row>
    <row r="53" spans="5:9" x14ac:dyDescent="0.3">
      <c r="E53" s="45"/>
    </row>
  </sheetData>
  <mergeCells count="14">
    <mergeCell ref="M19:N19"/>
    <mergeCell ref="B28:I28"/>
    <mergeCell ref="B27:D27"/>
    <mergeCell ref="B47:C47"/>
    <mergeCell ref="J31:K31"/>
    <mergeCell ref="J36:K36"/>
    <mergeCell ref="L7:L12"/>
    <mergeCell ref="L14:L17"/>
    <mergeCell ref="I19:K19"/>
    <mergeCell ref="B38:C38"/>
    <mergeCell ref="E38:F38"/>
    <mergeCell ref="B29:D29"/>
    <mergeCell ref="B31:C31"/>
    <mergeCell ref="E31:F31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3:M15"/>
  <sheetViews>
    <sheetView showGridLines="0" workbookViewId="0"/>
  </sheetViews>
  <sheetFormatPr baseColWidth="10" defaultColWidth="8.88671875" defaultRowHeight="14.4" x14ac:dyDescent="0.3"/>
  <cols>
    <col min="4" max="4" width="14.6640625" customWidth="1"/>
    <col min="5" max="5" width="18.6640625" customWidth="1"/>
    <col min="6" max="6" width="11" customWidth="1"/>
    <col min="7" max="7" width="12.33203125" customWidth="1"/>
    <col min="8" max="8" width="10.44140625" customWidth="1"/>
    <col min="9" max="9" width="16.5546875" customWidth="1"/>
  </cols>
  <sheetData>
    <row r="3" spans="4:13" x14ac:dyDescent="0.3">
      <c r="D3" s="60" t="s">
        <v>177</v>
      </c>
      <c r="E3" s="60" t="s">
        <v>178</v>
      </c>
      <c r="F3" s="60" t="s">
        <v>179</v>
      </c>
      <c r="G3" s="60" t="s">
        <v>180</v>
      </c>
      <c r="H3" s="60" t="s">
        <v>181</v>
      </c>
      <c r="I3" s="60" t="s">
        <v>182</v>
      </c>
    </row>
    <row r="4" spans="4:13" x14ac:dyDescent="0.3">
      <c r="D4" s="4" t="s">
        <v>183</v>
      </c>
      <c r="E4" s="4">
        <v>10</v>
      </c>
      <c r="F4" s="46">
        <f>2*E4</f>
        <v>20</v>
      </c>
      <c r="G4" s="46">
        <f>1*E4</f>
        <v>10</v>
      </c>
      <c r="H4" s="46">
        <f>1.5*E4</f>
        <v>15</v>
      </c>
      <c r="I4" s="46">
        <f>SMALL(F4:H4,1)</f>
        <v>10</v>
      </c>
    </row>
    <row r="5" spans="4:13" x14ac:dyDescent="0.3">
      <c r="D5" s="4" t="s">
        <v>184</v>
      </c>
      <c r="E5" s="4">
        <v>0</v>
      </c>
      <c r="F5" s="46">
        <f>6.52*E5</f>
        <v>0</v>
      </c>
      <c r="G5" s="46">
        <f>7.71*E5</f>
        <v>0</v>
      </c>
      <c r="H5" s="46"/>
      <c r="I5" s="46">
        <f>SMALL(F5:H5,1)</f>
        <v>0</v>
      </c>
    </row>
    <row r="6" spans="4:13" x14ac:dyDescent="0.3">
      <c r="D6" s="4" t="s">
        <v>185</v>
      </c>
      <c r="E6" s="4">
        <v>3</v>
      </c>
      <c r="F6" s="46">
        <f>(53.17/12)*E6</f>
        <v>13.2925</v>
      </c>
      <c r="G6" s="46">
        <f>5.49*E6</f>
        <v>16.47</v>
      </c>
      <c r="H6" s="46">
        <f>(0.4*M7)*E6</f>
        <v>44.040000000000006</v>
      </c>
      <c r="I6" s="46">
        <f t="shared" ref="I6:I12" si="0">SMALL(F6:H6,1)</f>
        <v>13.2925</v>
      </c>
      <c r="M6" s="3" t="s">
        <v>186</v>
      </c>
    </row>
    <row r="7" spans="4:13" x14ac:dyDescent="0.3">
      <c r="D7" s="4" t="s">
        <v>187</v>
      </c>
      <c r="E7" s="4">
        <v>1</v>
      </c>
      <c r="F7" s="46">
        <f>281.29/100</f>
        <v>2.8129000000000004</v>
      </c>
      <c r="G7" s="46">
        <f>48.09/10</f>
        <v>4.8090000000000002</v>
      </c>
      <c r="H7" s="46">
        <f>319.98/12</f>
        <v>26.665000000000003</v>
      </c>
      <c r="I7" s="46">
        <f t="shared" si="0"/>
        <v>2.8129000000000004</v>
      </c>
      <c r="M7" s="51">
        <v>36.700000000000003</v>
      </c>
    </row>
    <row r="8" spans="4:13" x14ac:dyDescent="0.3">
      <c r="D8" s="4" t="s">
        <v>188</v>
      </c>
      <c r="E8" s="47">
        <f>1/6</f>
        <v>0.16666666666666666</v>
      </c>
      <c r="F8" s="46">
        <f>49.04*E8</f>
        <v>8.173333333333332</v>
      </c>
      <c r="G8" s="46">
        <f>59.51*E8</f>
        <v>9.918333333333333</v>
      </c>
      <c r="H8" s="46">
        <f>(4.13*M7)*E8</f>
        <v>25.261833333333332</v>
      </c>
      <c r="I8" s="46">
        <f t="shared" si="0"/>
        <v>8.173333333333332</v>
      </c>
    </row>
    <row r="9" spans="4:13" x14ac:dyDescent="0.3">
      <c r="D9" s="4" t="s">
        <v>189</v>
      </c>
      <c r="E9" s="47">
        <f>1/6</f>
        <v>0.16666666666666666</v>
      </c>
      <c r="F9" s="46">
        <f>30.13*E9</f>
        <v>5.0216666666666665</v>
      </c>
      <c r="G9" s="46">
        <f>37.03*E9</f>
        <v>6.1716666666666669</v>
      </c>
      <c r="H9" s="46"/>
      <c r="I9" s="46">
        <f t="shared" si="0"/>
        <v>5.0216666666666665</v>
      </c>
    </row>
    <row r="10" spans="4:13" x14ac:dyDescent="0.3">
      <c r="D10" s="4" t="s">
        <v>190</v>
      </c>
      <c r="E10" s="4">
        <v>2</v>
      </c>
      <c r="F10" s="46">
        <f>23.16*E10</f>
        <v>46.32</v>
      </c>
      <c r="G10" s="46">
        <f>12.28*E10</f>
        <v>24.56</v>
      </c>
      <c r="H10" s="46">
        <f>(0.3*M7)*E10</f>
        <v>22.02</v>
      </c>
      <c r="I10" s="46">
        <f t="shared" si="0"/>
        <v>22.02</v>
      </c>
    </row>
    <row r="11" spans="4:13" x14ac:dyDescent="0.3">
      <c r="D11" s="22" t="s">
        <v>191</v>
      </c>
      <c r="E11" s="22">
        <v>0</v>
      </c>
      <c r="F11" s="48">
        <f>8.86*E11</f>
        <v>0</v>
      </c>
      <c r="G11" s="48">
        <f>10.48*E11</f>
        <v>0</v>
      </c>
      <c r="H11" s="48">
        <f>0.24*M7*E11</f>
        <v>0</v>
      </c>
      <c r="I11" s="46">
        <f t="shared" si="0"/>
        <v>0</v>
      </c>
    </row>
    <row r="12" spans="4:13" x14ac:dyDescent="0.3">
      <c r="D12" s="22" t="s">
        <v>192</v>
      </c>
      <c r="E12" s="22">
        <v>0</v>
      </c>
      <c r="F12" s="48">
        <f>5.97*E12</f>
        <v>0</v>
      </c>
      <c r="G12" s="48">
        <f>7.87*E12</f>
        <v>0</v>
      </c>
      <c r="H12" s="48">
        <f>0.12*M7*E12</f>
        <v>0</v>
      </c>
      <c r="I12" s="48">
        <f t="shared" si="0"/>
        <v>0</v>
      </c>
    </row>
    <row r="13" spans="4:13" x14ac:dyDescent="0.3">
      <c r="D13" s="129" t="s">
        <v>193</v>
      </c>
      <c r="E13" s="130"/>
      <c r="F13" s="49">
        <f>SUM(F4:F12)</f>
        <v>95.620400000000004</v>
      </c>
      <c r="G13" s="49">
        <f t="shared" ref="G13:H13" si="1">SUM(G4:G12)</f>
        <v>71.929000000000002</v>
      </c>
      <c r="H13" s="49">
        <f t="shared" si="1"/>
        <v>132.98683333333335</v>
      </c>
      <c r="I13" s="50">
        <f>SUM(I4:I12)</f>
        <v>61.320400000000006</v>
      </c>
    </row>
    <row r="15" spans="4:13" x14ac:dyDescent="0.3">
      <c r="G15" s="128" t="s">
        <v>194</v>
      </c>
      <c r="H15" s="128"/>
      <c r="I15" s="52">
        <f>I13/M7</f>
        <v>1.6708555858310628</v>
      </c>
    </row>
  </sheetData>
  <mergeCells count="2">
    <mergeCell ref="G15:H15"/>
    <mergeCell ref="D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1. Caracteristicas de dominio</vt:lpstr>
      <vt:lpstr>2. Preguntas</vt:lpstr>
      <vt:lpstr>3. Punto de Función</vt:lpstr>
      <vt:lpstr>4. Base de Datos</vt:lpstr>
      <vt:lpstr>5. Estimación del esfuerzo</vt:lpstr>
      <vt:lpstr>6. Distribución</vt:lpstr>
      <vt:lpstr>Lista de 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GABRIEL FLORES CASTILLO</cp:lastModifiedBy>
  <dcterms:modified xsi:type="dcterms:W3CDTF">2026-09-09T23:37:25Z</dcterms:modified>
</cp:coreProperties>
</file>